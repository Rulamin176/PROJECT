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rulam\Downloads\"/>
    </mc:Choice>
  </mc:AlternateContent>
  <xr:revisionPtr revIDLastSave="0" documentId="13_ncr:1_{ABDD7234-766D-44C7-91D4-DD5332F9865F}" xr6:coauthVersionLast="47" xr6:coauthVersionMax="47" xr10:uidLastSave="{00000000-0000-0000-0000-000000000000}"/>
  <bookViews>
    <workbookView xWindow="-108" yWindow="-108" windowWidth="23256" windowHeight="12456" activeTab="3" xr2:uid="{00000000-000D-0000-FFFF-FFFF00000000}"/>
  </bookViews>
  <sheets>
    <sheet name="Raw Data" sheetId="1" r:id="rId1"/>
    <sheet name="Formula And Function" sheetId="2" r:id="rId2"/>
    <sheet name="PIVOT TABLE" sheetId="3" r:id="rId3"/>
    <sheet name="DASHBOARD" sheetId="4" r:id="rId4"/>
  </sheets>
  <definedNames>
    <definedName name="Slicer_Product">#N/A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8" i="2" l="1"/>
  <c r="Q34" i="2"/>
  <c r="Q30" i="2"/>
  <c r="Q26" i="2"/>
  <c r="Q22" i="2"/>
  <c r="Q16" i="2"/>
  <c r="Q12" i="2"/>
  <c r="Q8" i="2"/>
  <c r="N24" i="2" l="1"/>
  <c r="N20" i="2"/>
  <c r="N16" i="2"/>
  <c r="N12" i="2"/>
  <c r="N8" i="2"/>
  <c r="K21" i="2"/>
  <c r="K18" i="2"/>
  <c r="K15" i="2"/>
  <c r="K11" i="2"/>
  <c r="K7" i="2"/>
</calcChain>
</file>

<file path=xl/sharedStrings.xml><?xml version="1.0" encoding="utf-8"?>
<sst xmlns="http://schemas.openxmlformats.org/spreadsheetml/2006/main" count="788" uniqueCount="132">
  <si>
    <t>Date</t>
  </si>
  <si>
    <t>Region</t>
  </si>
  <si>
    <t>Product</t>
  </si>
  <si>
    <t>Category</t>
  </si>
  <si>
    <t>Sales</t>
  </si>
  <si>
    <t>Quantity</t>
  </si>
  <si>
    <t>Profit</t>
  </si>
  <si>
    <t>2024-01-03</t>
  </si>
  <si>
    <t>North</t>
  </si>
  <si>
    <t>Laptop</t>
  </si>
  <si>
    <t>Electronics</t>
  </si>
  <si>
    <t>2024-01-05</t>
  </si>
  <si>
    <t>South</t>
  </si>
  <si>
    <t>Printer</t>
  </si>
  <si>
    <t>2024-01-07</t>
  </si>
  <si>
    <t>East</t>
  </si>
  <si>
    <t>Chair</t>
  </si>
  <si>
    <t>Furniture</t>
  </si>
  <si>
    <t>2024-01-09</t>
  </si>
  <si>
    <t>West</t>
  </si>
  <si>
    <t>Desk</t>
  </si>
  <si>
    <t>2024-01-11</t>
  </si>
  <si>
    <t>Phone</t>
  </si>
  <si>
    <t>2024-01-13</t>
  </si>
  <si>
    <t>Keyboard</t>
  </si>
  <si>
    <t>2024-01-15</t>
  </si>
  <si>
    <t>Sofa</t>
  </si>
  <si>
    <t>2024-01-17</t>
  </si>
  <si>
    <t>Monitor</t>
  </si>
  <si>
    <t>2024-01-19</t>
  </si>
  <si>
    <t>Mouse</t>
  </si>
  <si>
    <t>2024-01-21</t>
  </si>
  <si>
    <t>Bookshelf</t>
  </si>
  <si>
    <t>2024-02-01</t>
  </si>
  <si>
    <t>2024-02-03</t>
  </si>
  <si>
    <t>2024-02-05</t>
  </si>
  <si>
    <t>2024-02-07</t>
  </si>
  <si>
    <t>2024-02-09</t>
  </si>
  <si>
    <t>2024-02-11</t>
  </si>
  <si>
    <t>2024-02-13</t>
  </si>
  <si>
    <t>2024-02-15</t>
  </si>
  <si>
    <t>2024-02-17</t>
  </si>
  <si>
    <t>2024-02-19</t>
  </si>
  <si>
    <t>2024-03-01</t>
  </si>
  <si>
    <t>2024-03-03</t>
  </si>
  <si>
    <t>2024-03-05</t>
  </si>
  <si>
    <t>2024-03-07</t>
  </si>
  <si>
    <t>2024-03-09</t>
  </si>
  <si>
    <t>2024-03-11</t>
  </si>
  <si>
    <t>2024-03-13</t>
  </si>
  <si>
    <t>2024-03-15</t>
  </si>
  <si>
    <t>2024-03-17</t>
  </si>
  <si>
    <t>2024-03-19</t>
  </si>
  <si>
    <t>2024-03-21</t>
  </si>
  <si>
    <t>2024-03-23</t>
  </si>
  <si>
    <t>2024-03-25</t>
  </si>
  <si>
    <t>2024-03-27</t>
  </si>
  <si>
    <t>2024-03-29</t>
  </si>
  <si>
    <t>2024-03-30</t>
  </si>
  <si>
    <t>2024-04-01</t>
  </si>
  <si>
    <t>2024-04-03</t>
  </si>
  <si>
    <t>2024-04-05</t>
  </si>
  <si>
    <t>2024-04-07</t>
  </si>
  <si>
    <t>Total sale</t>
  </si>
  <si>
    <t>Highest profit</t>
  </si>
  <si>
    <t xml:space="preserve">North region Order Count </t>
  </si>
  <si>
    <t>Average Quantity</t>
  </si>
  <si>
    <t>Profit In Electronics</t>
  </si>
  <si>
    <t>Q1</t>
  </si>
  <si>
    <t>Q2</t>
  </si>
  <si>
    <t>Q3</t>
  </si>
  <si>
    <t>Q4</t>
  </si>
  <si>
    <t>Q5</t>
  </si>
  <si>
    <t>Functions</t>
  </si>
  <si>
    <t>VLOOKUP</t>
  </si>
  <si>
    <t xml:space="preserve">Sale </t>
  </si>
  <si>
    <t>Product id</t>
  </si>
  <si>
    <t>PD-1</t>
  </si>
  <si>
    <t>PD-2</t>
  </si>
  <si>
    <t>PD-3</t>
  </si>
  <si>
    <t>PD-4</t>
  </si>
  <si>
    <t>PD-5</t>
  </si>
  <si>
    <t>PD-6</t>
  </si>
  <si>
    <t>PD-7</t>
  </si>
  <si>
    <t>PD-8</t>
  </si>
  <si>
    <t>PD-9</t>
  </si>
  <si>
    <t>PD-10</t>
  </si>
  <si>
    <t>PD-11</t>
  </si>
  <si>
    <t>PD-12</t>
  </si>
  <si>
    <t>PD-13</t>
  </si>
  <si>
    <t>PD-14</t>
  </si>
  <si>
    <t>PD-15</t>
  </si>
  <si>
    <t>PD-16</t>
  </si>
  <si>
    <t>PD-17</t>
  </si>
  <si>
    <t>PD-18</t>
  </si>
  <si>
    <t>PD-19</t>
  </si>
  <si>
    <t>PD-20</t>
  </si>
  <si>
    <t>PD-21</t>
  </si>
  <si>
    <t>PD-22</t>
  </si>
  <si>
    <t>PD-23</t>
  </si>
  <si>
    <t>PD-24</t>
  </si>
  <si>
    <t>PD-25</t>
  </si>
  <si>
    <t>PD-26</t>
  </si>
  <si>
    <t>PD-27</t>
  </si>
  <si>
    <t>PD-28</t>
  </si>
  <si>
    <t>PD-29</t>
  </si>
  <si>
    <t>PD-30</t>
  </si>
  <si>
    <t>PD-31</t>
  </si>
  <si>
    <t>PD-32</t>
  </si>
  <si>
    <t>PD-33</t>
  </si>
  <si>
    <t>PD-34</t>
  </si>
  <si>
    <t>PD-35</t>
  </si>
  <si>
    <t>PD-36</t>
  </si>
  <si>
    <t>PD-37</t>
  </si>
  <si>
    <t>PD-38</t>
  </si>
  <si>
    <t>PD-39</t>
  </si>
  <si>
    <t>PD-40</t>
  </si>
  <si>
    <t>Product Id</t>
  </si>
  <si>
    <t>HLOOKUP</t>
  </si>
  <si>
    <t>INDEX</t>
  </si>
  <si>
    <t>CNDF_2</t>
  </si>
  <si>
    <t>CNDF_5</t>
  </si>
  <si>
    <t>CNDF_1,4</t>
  </si>
  <si>
    <t>Row Labels</t>
  </si>
  <si>
    <t>Grand Total</t>
  </si>
  <si>
    <t>Sum of Sales</t>
  </si>
  <si>
    <t>REGION WISE SALE</t>
  </si>
  <si>
    <t>Product-wise Profit</t>
  </si>
  <si>
    <t>Sum of Profit</t>
  </si>
  <si>
    <t>Category-wise total Sales</t>
  </si>
  <si>
    <t>Sum of Quantity</t>
  </si>
  <si>
    <t>Product Wise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</si>
</sst>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6" x14ac:knownFonts="1">
    <font>
      <sz val="11"/>
      <color theme="1"/>
      <name val="Calibri"/>
      <family val="2"/>
      <scheme val="minor"/>
    </font>
    <font>
      <b/>
      <sz val="11"/>
      <color rgb="FFC00000"/>
      <name val="Calibri"/>
      <family val="2"/>
      <scheme val="minor"/>
    </font>
    <font>
      <b/>
      <sz val="11"/>
      <color rgb="FFFF0000"/>
      <name val="Calibri"/>
      <family val="2"/>
      <scheme val="minor"/>
    </font>
    <font>
      <b/>
      <sz val="14"/>
      <color rgb="FF00B0F0"/>
      <name val="Times New Roman"/>
      <family val="1"/>
    </font>
    <font>
      <b/>
      <sz val="12"/>
      <color rgb="FFC00000"/>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7">
    <xf numFmtId="0" fontId="0" fillId="0" borderId="0" xfId="0"/>
    <xf numFmtId="0" fontId="0" fillId="0" borderId="1" xfId="0" applyBorder="1"/>
    <xf numFmtId="0" fontId="1" fillId="2" borderId="1" xfId="0" applyFont="1" applyFill="1" applyBorder="1" applyAlignment="1">
      <alignment horizontal="center"/>
    </xf>
    <xf numFmtId="0" fontId="1" fillId="0" borderId="2" xfId="0" applyFont="1" applyBorder="1" applyAlignment="1">
      <alignment horizontal="center"/>
    </xf>
    <xf numFmtId="0" fontId="3" fillId="0" borderId="1" xfId="0" applyFont="1" applyBorder="1" applyAlignment="1">
      <alignment horizontal="center"/>
    </xf>
    <xf numFmtId="164" fontId="3" fillId="0" borderId="1" xfId="0" applyNumberFormat="1" applyFont="1" applyBorder="1" applyAlignment="1">
      <alignment horizontal="center"/>
    </xf>
    <xf numFmtId="0" fontId="3" fillId="0" borderId="1" xfId="0" applyFont="1" applyBorder="1"/>
    <xf numFmtId="0" fontId="0" fillId="0" borderId="6" xfId="0" applyBorder="1"/>
    <xf numFmtId="0" fontId="0" fillId="0" borderId="7" xfId="0" applyBorder="1"/>
    <xf numFmtId="0" fontId="0" fillId="0" borderId="1" xfId="0" applyBorder="1" applyAlignment="1">
      <alignment horizontal="center"/>
    </xf>
    <xf numFmtId="0" fontId="3" fillId="0" borderId="9" xfId="0" applyFont="1" applyBorder="1" applyAlignment="1">
      <alignment horizontal="center"/>
    </xf>
    <xf numFmtId="0" fontId="1" fillId="2" borderId="0" xfId="0" applyFont="1" applyFill="1" applyAlignment="1">
      <alignment horizontal="center"/>
    </xf>
    <xf numFmtId="0" fontId="0" fillId="0" borderId="0" xfId="0" pivotButton="1"/>
    <xf numFmtId="0" fontId="0" fillId="0" borderId="0" xfId="0" applyAlignment="1">
      <alignment horizontal="left"/>
    </xf>
    <xf numFmtId="165" fontId="0" fillId="0" borderId="0" xfId="0" pivotButton="1" applyNumberFormat="1"/>
    <xf numFmtId="165" fontId="0" fillId="0" borderId="0" xfId="0" applyNumberFormat="1" applyAlignment="1">
      <alignment horizontal="left"/>
    </xf>
    <xf numFmtId="0" fontId="2" fillId="0" borderId="8" xfId="0" applyFont="1" applyBorder="1" applyAlignment="1">
      <alignment horizontal="center"/>
    </xf>
    <xf numFmtId="0" fontId="2" fillId="0" borderId="9"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2"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1" fillId="2" borderId="0" xfId="0" applyFont="1" applyFill="1" applyAlignment="1">
      <alignment horizontal="center"/>
    </xf>
    <xf numFmtId="0" fontId="5" fillId="2" borderId="0" xfId="0" applyFont="1" applyFill="1" applyAlignment="1">
      <alignment horizontal="center"/>
    </xf>
    <xf numFmtId="0" fontId="0" fillId="0" borderId="0" xfId="0" applyNumberFormat="1"/>
    <xf numFmtId="0" fontId="0" fillId="0" borderId="0" xfId="0" applyAlignment="1">
      <alignment horizontal="left" indent="1"/>
    </xf>
  </cellXfs>
  <cellStyles count="1">
    <cellStyle name="Normal" xfId="0" builtinId="0"/>
  </cellStyles>
  <dxfs count="44">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font>
        <color rgb="FF9C0006"/>
      </font>
      <fill>
        <patternFill>
          <bgColor rgb="FF92D050"/>
        </patternFill>
      </fill>
    </dxf>
    <dxf>
      <font>
        <b/>
        <i/>
        <color rgb="FFFFFF00"/>
      </font>
      <fill>
        <patternFill>
          <bgColor rgb="FFFF0000"/>
        </patternFill>
      </fill>
    </dxf>
    <dxf>
      <font>
        <b/>
        <i val="0"/>
        <u/>
        <color rgb="FFFF0000"/>
      </font>
      <fill>
        <patternFill>
          <bgColor rgb="FFFFFF00"/>
        </patternFill>
      </fill>
    </dxf>
    <dxf>
      <font>
        <b/>
        <i/>
        <color rgb="FFFFFF00"/>
      </font>
      <fill>
        <patternFill>
          <bgColor rgb="FFFF0000"/>
        </patternFill>
      </fill>
    </dxf>
    <dxf>
      <font>
        <color rgb="FF006100"/>
      </font>
      <fill>
        <patternFill>
          <bgColor rgb="FFC6EFCE"/>
        </patternFill>
      </fill>
    </dxf>
    <dxf>
      <font>
        <color rgb="FF9C0006"/>
      </font>
      <fill>
        <patternFill>
          <bgColor rgb="FFFFC7CE"/>
        </patternFill>
      </fill>
    </dxf>
    <dxf>
      <numFmt numFmtId="165" formatCode="[$-F800]dddd\,\ mmmm\ dd\,\ yyyy"/>
    </dxf>
    <dxf>
      <numFmt numFmtId="165" formatCode="[$-F800]dddd\,\ mmmm\ dd\,\ 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FF0000"/>
                </a:solidFill>
                <a:latin typeface="Algerian" panose="04020705040A02060702" pitchFamily="82" charset="0"/>
              </a:rPr>
              <a:t>Region-wise Sales</a:t>
            </a:r>
            <a:endParaRPr lang="en-US">
              <a:solidFill>
                <a:srgbClr val="FF0000"/>
              </a:solidFill>
              <a:latin typeface="Algerian" panose="04020705040A02060702" pitchFamily="82" charset="0"/>
            </a:endParaRPr>
          </a:p>
        </c:rich>
      </c:tx>
      <c:layout>
        <c:manualLayout>
          <c:xMode val="edge"/>
          <c:yMode val="edge"/>
          <c:x val="0.24031551467257836"/>
          <c:y val="0.15988633415850137"/>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93-4FD4-8819-3A2DE4F46F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93-4FD4-8819-3A2DE4F46F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93-4FD4-8819-3A2DE4F46F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93-4FD4-8819-3A2DE4F46F95}"/>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General</c:formatCode>
                <c:ptCount val="4"/>
                <c:pt idx="0">
                  <c:v>256500</c:v>
                </c:pt>
                <c:pt idx="1">
                  <c:v>332000</c:v>
                </c:pt>
                <c:pt idx="2">
                  <c:v>173800</c:v>
                </c:pt>
                <c:pt idx="3">
                  <c:v>159500</c:v>
                </c:pt>
              </c:numCache>
            </c:numRef>
          </c:val>
          <c:extLst>
            <c:ext xmlns:c16="http://schemas.microsoft.com/office/drawing/2014/chart" uri="{C3380CC4-5D6E-409C-BE32-E72D297353CC}">
              <c16:uniqueId val="{00000000-362D-4920-809A-4FC14F7DCA2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551262069264856"/>
          <c:y val="0.38673485643494537"/>
          <c:w val="0.14232211603240255"/>
          <c:h val="0.475536448949651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[SuperMart_Sales_Analysis.xlsx]PIVOT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TABLE'!$H$18</c:f>
              <c:strCache>
                <c:ptCount val="1"/>
                <c:pt idx="0">
                  <c:v>Total</c:v>
                </c:pt>
              </c:strCache>
            </c:strRef>
          </c:tx>
          <c:spPr>
            <a:solidFill>
              <a:schemeClr val="accent1"/>
            </a:solidFill>
            <a:ln>
              <a:noFill/>
            </a:ln>
            <a:effectLst/>
          </c:spPr>
          <c:invertIfNegative val="0"/>
          <c:cat>
            <c:strRef>
              <c:f>'PIVOT TABLE'!$G$19:$G$59</c:f>
              <c:strCache>
                <c:ptCount val="40"/>
                <c:pt idx="0">
                  <c:v>2024-01-03</c:v>
                </c:pt>
                <c:pt idx="1">
                  <c:v>2024-01-05</c:v>
                </c:pt>
                <c:pt idx="2">
                  <c:v>2024-01-07</c:v>
                </c:pt>
                <c:pt idx="3">
                  <c:v>2024-01-09</c:v>
                </c:pt>
                <c:pt idx="4">
                  <c:v>2024-01-11</c:v>
                </c:pt>
                <c:pt idx="5">
                  <c:v>2024-01-13</c:v>
                </c:pt>
                <c:pt idx="6">
                  <c:v>2024-01-15</c:v>
                </c:pt>
                <c:pt idx="7">
                  <c:v>2024-01-17</c:v>
                </c:pt>
                <c:pt idx="8">
                  <c:v>2024-01-19</c:v>
                </c:pt>
                <c:pt idx="9">
                  <c:v>2024-01-21</c:v>
                </c:pt>
                <c:pt idx="10">
                  <c:v>2024-02-01</c:v>
                </c:pt>
                <c:pt idx="11">
                  <c:v>2024-02-03</c:v>
                </c:pt>
                <c:pt idx="12">
                  <c:v>2024-02-05</c:v>
                </c:pt>
                <c:pt idx="13">
                  <c:v>2024-02-07</c:v>
                </c:pt>
                <c:pt idx="14">
                  <c:v>2024-02-09</c:v>
                </c:pt>
                <c:pt idx="15">
                  <c:v>2024-02-11</c:v>
                </c:pt>
                <c:pt idx="16">
                  <c:v>2024-02-13</c:v>
                </c:pt>
                <c:pt idx="17">
                  <c:v>2024-02-15</c:v>
                </c:pt>
                <c:pt idx="18">
                  <c:v>2024-02-17</c:v>
                </c:pt>
                <c:pt idx="19">
                  <c:v>2024-02-19</c:v>
                </c:pt>
                <c:pt idx="20">
                  <c:v>2024-03-01</c:v>
                </c:pt>
                <c:pt idx="21">
                  <c:v>2024-03-03</c:v>
                </c:pt>
                <c:pt idx="22">
                  <c:v>2024-03-05</c:v>
                </c:pt>
                <c:pt idx="23">
                  <c:v>2024-03-07</c:v>
                </c:pt>
                <c:pt idx="24">
                  <c:v>2024-03-09</c:v>
                </c:pt>
                <c:pt idx="25">
                  <c:v>2024-03-11</c:v>
                </c:pt>
                <c:pt idx="26">
                  <c:v>2024-03-13</c:v>
                </c:pt>
                <c:pt idx="27">
                  <c:v>2024-03-15</c:v>
                </c:pt>
                <c:pt idx="28">
                  <c:v>2024-03-17</c:v>
                </c:pt>
                <c:pt idx="29">
                  <c:v>2024-03-19</c:v>
                </c:pt>
                <c:pt idx="30">
                  <c:v>2024-03-21</c:v>
                </c:pt>
                <c:pt idx="31">
                  <c:v>2024-03-23</c:v>
                </c:pt>
                <c:pt idx="32">
                  <c:v>2024-03-25</c:v>
                </c:pt>
                <c:pt idx="33">
                  <c:v>2024-03-27</c:v>
                </c:pt>
                <c:pt idx="34">
                  <c:v>2024-03-29</c:v>
                </c:pt>
                <c:pt idx="35">
                  <c:v>2024-03-30</c:v>
                </c:pt>
                <c:pt idx="36">
                  <c:v>2024-04-01</c:v>
                </c:pt>
                <c:pt idx="37">
                  <c:v>2024-04-03</c:v>
                </c:pt>
                <c:pt idx="38">
                  <c:v>2024-04-05</c:v>
                </c:pt>
                <c:pt idx="39">
                  <c:v>2024-04-07</c:v>
                </c:pt>
              </c:strCache>
            </c:strRef>
          </c:cat>
          <c:val>
            <c:numRef>
              <c:f>'PIVOT TABLE'!$H$19:$H$59</c:f>
              <c:numCache>
                <c:formatCode>General</c:formatCode>
                <c:ptCount val="40"/>
                <c:pt idx="0">
                  <c:v>54000</c:v>
                </c:pt>
                <c:pt idx="1">
                  <c:v>12000</c:v>
                </c:pt>
                <c:pt idx="2">
                  <c:v>8000</c:v>
                </c:pt>
                <c:pt idx="3">
                  <c:v>22000</c:v>
                </c:pt>
                <c:pt idx="4">
                  <c:v>30000</c:v>
                </c:pt>
                <c:pt idx="5">
                  <c:v>4000</c:v>
                </c:pt>
                <c:pt idx="6">
                  <c:v>48000</c:v>
                </c:pt>
                <c:pt idx="7">
                  <c:v>18000</c:v>
                </c:pt>
                <c:pt idx="8">
                  <c:v>2000</c:v>
                </c:pt>
                <c:pt idx="9">
                  <c:v>15000</c:v>
                </c:pt>
                <c:pt idx="10">
                  <c:v>56000</c:v>
                </c:pt>
                <c:pt idx="11">
                  <c:v>13000</c:v>
                </c:pt>
                <c:pt idx="12">
                  <c:v>24000</c:v>
                </c:pt>
                <c:pt idx="13">
                  <c:v>32000</c:v>
                </c:pt>
                <c:pt idx="14">
                  <c:v>9000</c:v>
                </c:pt>
                <c:pt idx="15">
                  <c:v>4500</c:v>
                </c:pt>
                <c:pt idx="16">
                  <c:v>49000</c:v>
                </c:pt>
                <c:pt idx="17">
                  <c:v>19000</c:v>
                </c:pt>
                <c:pt idx="18">
                  <c:v>2500</c:v>
                </c:pt>
                <c:pt idx="19">
                  <c:v>17000</c:v>
                </c:pt>
                <c:pt idx="20">
                  <c:v>58000</c:v>
                </c:pt>
                <c:pt idx="21">
                  <c:v>14000</c:v>
                </c:pt>
                <c:pt idx="22">
                  <c:v>9500</c:v>
                </c:pt>
                <c:pt idx="23">
                  <c:v>26000</c:v>
                </c:pt>
                <c:pt idx="24">
                  <c:v>33000</c:v>
                </c:pt>
                <c:pt idx="25">
                  <c:v>4800</c:v>
                </c:pt>
                <c:pt idx="26">
                  <c:v>50000</c:v>
                </c:pt>
                <c:pt idx="27">
                  <c:v>20000</c:v>
                </c:pt>
                <c:pt idx="28">
                  <c:v>3000</c:v>
                </c:pt>
                <c:pt idx="29">
                  <c:v>18000</c:v>
                </c:pt>
                <c:pt idx="30">
                  <c:v>60000</c:v>
                </c:pt>
                <c:pt idx="31">
                  <c:v>15000</c:v>
                </c:pt>
                <c:pt idx="32">
                  <c:v>27000</c:v>
                </c:pt>
                <c:pt idx="33">
                  <c:v>34000</c:v>
                </c:pt>
                <c:pt idx="34">
                  <c:v>10000</c:v>
                </c:pt>
                <c:pt idx="35">
                  <c:v>5000</c:v>
                </c:pt>
                <c:pt idx="36">
                  <c:v>52000</c:v>
                </c:pt>
                <c:pt idx="37">
                  <c:v>21000</c:v>
                </c:pt>
                <c:pt idx="38">
                  <c:v>3500</c:v>
                </c:pt>
                <c:pt idx="39">
                  <c:v>19000</c:v>
                </c:pt>
              </c:numCache>
            </c:numRef>
          </c:val>
          <c:extLst>
            <c:ext xmlns:c16="http://schemas.microsoft.com/office/drawing/2014/chart" uri="{C3380CC4-5D6E-409C-BE32-E72D297353CC}">
              <c16:uniqueId val="{00000000-A78C-4E0B-99F4-8E2494CF16F6}"/>
            </c:ext>
          </c:extLst>
        </c:ser>
        <c:dLbls>
          <c:showLegendKey val="0"/>
          <c:showVal val="0"/>
          <c:showCatName val="0"/>
          <c:showSerName val="0"/>
          <c:showPercent val="0"/>
          <c:showBubbleSize val="0"/>
        </c:dLbls>
        <c:gapWidth val="219"/>
        <c:overlap val="-27"/>
        <c:axId val="557113840"/>
        <c:axId val="504915520"/>
      </c:barChart>
      <c:catAx>
        <c:axId val="55711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915520"/>
        <c:crosses val="autoZero"/>
        <c:auto val="1"/>
        <c:lblAlgn val="ctr"/>
        <c:lblOffset val="100"/>
        <c:noMultiLvlLbl val="0"/>
      </c:catAx>
      <c:valAx>
        <c:axId val="50491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11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[SuperMart_Sales_Analysis.xlsx]PIVOT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Region-wise Sales</a:t>
            </a:r>
            <a:endParaRPr lang="en-US"/>
          </a:p>
        </c:rich>
      </c:tx>
      <c:layout>
        <c:manualLayout>
          <c:xMode val="edge"/>
          <c:yMode val="edge"/>
          <c:x val="0.24031551467257836"/>
          <c:y val="0.1598863341585013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2EA-41AE-A360-FA2186BEAB9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2EA-41AE-A360-FA2186BEAB9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2EA-41AE-A360-FA2186BEAB9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2EA-41AE-A360-FA2186BEAB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General</c:formatCode>
                <c:ptCount val="4"/>
                <c:pt idx="0">
                  <c:v>256500</c:v>
                </c:pt>
                <c:pt idx="1">
                  <c:v>332000</c:v>
                </c:pt>
                <c:pt idx="2">
                  <c:v>173800</c:v>
                </c:pt>
                <c:pt idx="3">
                  <c:v>159500</c:v>
                </c:pt>
              </c:numCache>
            </c:numRef>
          </c:val>
          <c:extLst>
            <c:ext xmlns:c16="http://schemas.microsoft.com/office/drawing/2014/chart" uri="{C3380CC4-5D6E-409C-BE32-E72D297353CC}">
              <c16:uniqueId val="{00000008-72EA-41AE-A360-FA2186BEAB9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551262069264856"/>
          <c:y val="0.38673485643494537"/>
          <c:w val="0.14232211603240255"/>
          <c:h val="0.475536448949651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[SuperMart_Sales_Analysis.xlsx]PIVOT TABLE!PivotTable5</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Date-Wise</a:t>
            </a:r>
            <a:r>
              <a:rPr lang="en-US" baseline="0"/>
              <a:t> sale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pivotFmt>
    </c:pivotFmts>
    <c:plotArea>
      <c:layout/>
      <c:barChart>
        <c:barDir val="col"/>
        <c:grouping val="clustered"/>
        <c:varyColors val="0"/>
        <c:ser>
          <c:idx val="0"/>
          <c:order val="0"/>
          <c:tx>
            <c:strRef>
              <c:f>'PIVOT TABLE'!$H$18</c:f>
              <c:strCache>
                <c:ptCount val="1"/>
                <c:pt idx="0">
                  <c:v>Total</c:v>
                </c:pt>
              </c:strCache>
            </c:strRef>
          </c:tx>
          <c:spPr>
            <a:pattFill prst="ltUpDiag">
              <a:fgClr>
                <a:schemeClr val="accent1"/>
              </a:fgClr>
              <a:bgClr>
                <a:schemeClr val="lt1"/>
              </a:bgClr>
            </a:pattFill>
            <a:ln>
              <a:noFill/>
            </a:ln>
            <a:effectLst/>
          </c:spPr>
          <c:invertIfNegative val="0"/>
          <c:cat>
            <c:strRef>
              <c:f>'PIVOT TABLE'!$G$19:$G$59</c:f>
              <c:strCache>
                <c:ptCount val="40"/>
                <c:pt idx="0">
                  <c:v>2024-01-03</c:v>
                </c:pt>
                <c:pt idx="1">
                  <c:v>2024-01-05</c:v>
                </c:pt>
                <c:pt idx="2">
                  <c:v>2024-01-07</c:v>
                </c:pt>
                <c:pt idx="3">
                  <c:v>2024-01-09</c:v>
                </c:pt>
                <c:pt idx="4">
                  <c:v>2024-01-11</c:v>
                </c:pt>
                <c:pt idx="5">
                  <c:v>2024-01-13</c:v>
                </c:pt>
                <c:pt idx="6">
                  <c:v>2024-01-15</c:v>
                </c:pt>
                <c:pt idx="7">
                  <c:v>2024-01-17</c:v>
                </c:pt>
                <c:pt idx="8">
                  <c:v>2024-01-19</c:v>
                </c:pt>
                <c:pt idx="9">
                  <c:v>2024-01-21</c:v>
                </c:pt>
                <c:pt idx="10">
                  <c:v>2024-02-01</c:v>
                </c:pt>
                <c:pt idx="11">
                  <c:v>2024-02-03</c:v>
                </c:pt>
                <c:pt idx="12">
                  <c:v>2024-02-05</c:v>
                </c:pt>
                <c:pt idx="13">
                  <c:v>2024-02-07</c:v>
                </c:pt>
                <c:pt idx="14">
                  <c:v>2024-02-09</c:v>
                </c:pt>
                <c:pt idx="15">
                  <c:v>2024-02-11</c:v>
                </c:pt>
                <c:pt idx="16">
                  <c:v>2024-02-13</c:v>
                </c:pt>
                <c:pt idx="17">
                  <c:v>2024-02-15</c:v>
                </c:pt>
                <c:pt idx="18">
                  <c:v>2024-02-17</c:v>
                </c:pt>
                <c:pt idx="19">
                  <c:v>2024-02-19</c:v>
                </c:pt>
                <c:pt idx="20">
                  <c:v>2024-03-01</c:v>
                </c:pt>
                <c:pt idx="21">
                  <c:v>2024-03-03</c:v>
                </c:pt>
                <c:pt idx="22">
                  <c:v>2024-03-05</c:v>
                </c:pt>
                <c:pt idx="23">
                  <c:v>2024-03-07</c:v>
                </c:pt>
                <c:pt idx="24">
                  <c:v>2024-03-09</c:v>
                </c:pt>
                <c:pt idx="25">
                  <c:v>2024-03-11</c:v>
                </c:pt>
                <c:pt idx="26">
                  <c:v>2024-03-13</c:v>
                </c:pt>
                <c:pt idx="27">
                  <c:v>2024-03-15</c:v>
                </c:pt>
                <c:pt idx="28">
                  <c:v>2024-03-17</c:v>
                </c:pt>
                <c:pt idx="29">
                  <c:v>2024-03-19</c:v>
                </c:pt>
                <c:pt idx="30">
                  <c:v>2024-03-21</c:v>
                </c:pt>
                <c:pt idx="31">
                  <c:v>2024-03-23</c:v>
                </c:pt>
                <c:pt idx="32">
                  <c:v>2024-03-25</c:v>
                </c:pt>
                <c:pt idx="33">
                  <c:v>2024-03-27</c:v>
                </c:pt>
                <c:pt idx="34">
                  <c:v>2024-03-29</c:v>
                </c:pt>
                <c:pt idx="35">
                  <c:v>2024-03-30</c:v>
                </c:pt>
                <c:pt idx="36">
                  <c:v>2024-04-01</c:v>
                </c:pt>
                <c:pt idx="37">
                  <c:v>2024-04-03</c:v>
                </c:pt>
                <c:pt idx="38">
                  <c:v>2024-04-05</c:v>
                </c:pt>
                <c:pt idx="39">
                  <c:v>2024-04-07</c:v>
                </c:pt>
              </c:strCache>
            </c:strRef>
          </c:cat>
          <c:val>
            <c:numRef>
              <c:f>'PIVOT TABLE'!$H$19:$H$59</c:f>
              <c:numCache>
                <c:formatCode>General</c:formatCode>
                <c:ptCount val="40"/>
                <c:pt idx="0">
                  <c:v>54000</c:v>
                </c:pt>
                <c:pt idx="1">
                  <c:v>12000</c:v>
                </c:pt>
                <c:pt idx="2">
                  <c:v>8000</c:v>
                </c:pt>
                <c:pt idx="3">
                  <c:v>22000</c:v>
                </c:pt>
                <c:pt idx="4">
                  <c:v>30000</c:v>
                </c:pt>
                <c:pt idx="5">
                  <c:v>4000</c:v>
                </c:pt>
                <c:pt idx="6">
                  <c:v>48000</c:v>
                </c:pt>
                <c:pt idx="7">
                  <c:v>18000</c:v>
                </c:pt>
                <c:pt idx="8">
                  <c:v>2000</c:v>
                </c:pt>
                <c:pt idx="9">
                  <c:v>15000</c:v>
                </c:pt>
                <c:pt idx="10">
                  <c:v>56000</c:v>
                </c:pt>
                <c:pt idx="11">
                  <c:v>13000</c:v>
                </c:pt>
                <c:pt idx="12">
                  <c:v>24000</c:v>
                </c:pt>
                <c:pt idx="13">
                  <c:v>32000</c:v>
                </c:pt>
                <c:pt idx="14">
                  <c:v>9000</c:v>
                </c:pt>
                <c:pt idx="15">
                  <c:v>4500</c:v>
                </c:pt>
                <c:pt idx="16">
                  <c:v>49000</c:v>
                </c:pt>
                <c:pt idx="17">
                  <c:v>19000</c:v>
                </c:pt>
                <c:pt idx="18">
                  <c:v>2500</c:v>
                </c:pt>
                <c:pt idx="19">
                  <c:v>17000</c:v>
                </c:pt>
                <c:pt idx="20">
                  <c:v>58000</c:v>
                </c:pt>
                <c:pt idx="21">
                  <c:v>14000</c:v>
                </c:pt>
                <c:pt idx="22">
                  <c:v>9500</c:v>
                </c:pt>
                <c:pt idx="23">
                  <c:v>26000</c:v>
                </c:pt>
                <c:pt idx="24">
                  <c:v>33000</c:v>
                </c:pt>
                <c:pt idx="25">
                  <c:v>4800</c:v>
                </c:pt>
                <c:pt idx="26">
                  <c:v>50000</c:v>
                </c:pt>
                <c:pt idx="27">
                  <c:v>20000</c:v>
                </c:pt>
                <c:pt idx="28">
                  <c:v>3000</c:v>
                </c:pt>
                <c:pt idx="29">
                  <c:v>18000</c:v>
                </c:pt>
                <c:pt idx="30">
                  <c:v>60000</c:v>
                </c:pt>
                <c:pt idx="31">
                  <c:v>15000</c:v>
                </c:pt>
                <c:pt idx="32">
                  <c:v>27000</c:v>
                </c:pt>
                <c:pt idx="33">
                  <c:v>34000</c:v>
                </c:pt>
                <c:pt idx="34">
                  <c:v>10000</c:v>
                </c:pt>
                <c:pt idx="35">
                  <c:v>5000</c:v>
                </c:pt>
                <c:pt idx="36">
                  <c:v>52000</c:v>
                </c:pt>
                <c:pt idx="37">
                  <c:v>21000</c:v>
                </c:pt>
                <c:pt idx="38">
                  <c:v>3500</c:v>
                </c:pt>
                <c:pt idx="39">
                  <c:v>19000</c:v>
                </c:pt>
              </c:numCache>
            </c:numRef>
          </c:val>
          <c:extLst>
            <c:ext xmlns:c16="http://schemas.microsoft.com/office/drawing/2014/chart" uri="{C3380CC4-5D6E-409C-BE32-E72D297353CC}">
              <c16:uniqueId val="{00000000-FF5F-4A9A-A03C-E09122FA16E5}"/>
            </c:ext>
          </c:extLst>
        </c:ser>
        <c:dLbls>
          <c:showLegendKey val="0"/>
          <c:showVal val="0"/>
          <c:showCatName val="0"/>
          <c:showSerName val="0"/>
          <c:showPercent val="0"/>
          <c:showBubbleSize val="0"/>
        </c:dLbls>
        <c:gapWidth val="269"/>
        <c:overlap val="-20"/>
        <c:axId val="557113840"/>
        <c:axId val="504915520"/>
      </c:barChart>
      <c:catAx>
        <c:axId val="557113840"/>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04915520"/>
        <c:crosses val="autoZero"/>
        <c:auto val="1"/>
        <c:lblAlgn val="ctr"/>
        <c:lblOffset val="100"/>
        <c:noMultiLvlLbl val="0"/>
      </c:catAx>
      <c:valAx>
        <c:axId val="504915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711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[SuperMart_Sales_Analysis.xlsx]PIVOT 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Category-wise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'PIVOT TABLE'!$E$18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5DF4-4EB2-B6E7-6CBA61ED630A}"/>
              </c:ext>
            </c:extLst>
          </c:dPt>
          <c:dPt>
            <c:idx val="1"/>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DF4-4EB2-B6E7-6CBA61ED63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TABLE'!$D$19:$D$21</c:f>
              <c:strCache>
                <c:ptCount val="2"/>
                <c:pt idx="0">
                  <c:v>Electronics</c:v>
                </c:pt>
                <c:pt idx="1">
                  <c:v>Furniture</c:v>
                </c:pt>
              </c:strCache>
            </c:strRef>
          </c:cat>
          <c:val>
            <c:numRef>
              <c:f>'PIVOT TABLE'!$E$19:$E$21</c:f>
              <c:numCache>
                <c:formatCode>General</c:formatCode>
                <c:ptCount val="2"/>
                <c:pt idx="0">
                  <c:v>518300</c:v>
                </c:pt>
                <c:pt idx="1">
                  <c:v>403500</c:v>
                </c:pt>
              </c:numCache>
            </c:numRef>
          </c:val>
          <c:extLst>
            <c:ext xmlns:c16="http://schemas.microsoft.com/office/drawing/2014/chart" uri="{C3380CC4-5D6E-409C-BE32-E72D297353CC}">
              <c16:uniqueId val="{00000000-5DF4-4EB2-B6E7-6CBA61ED630A}"/>
            </c:ext>
          </c:extLst>
        </c:ser>
        <c:dLbls>
          <c:dLblPos val="inEnd"/>
          <c:showLegendKey val="0"/>
          <c:showVal val="1"/>
          <c:showCatName val="0"/>
          <c:showSerName val="0"/>
          <c:showPercent val="0"/>
          <c:showBubbleSize val="0"/>
        </c:dLbls>
        <c:gapWidth val="115"/>
        <c:overlap val="-20"/>
        <c:axId val="133366752"/>
        <c:axId val="133376352"/>
      </c:barChart>
      <c:catAx>
        <c:axId val="133366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376352"/>
        <c:crosses val="autoZero"/>
        <c:auto val="1"/>
        <c:lblAlgn val="ctr"/>
        <c:lblOffset val="100"/>
        <c:noMultiLvlLbl val="0"/>
      </c:catAx>
      <c:valAx>
        <c:axId val="133376352"/>
        <c:scaling>
          <c:orientation val="minMax"/>
        </c:scaling>
        <c:delete val="1"/>
        <c:axPos val="b"/>
        <c:numFmt formatCode="General" sourceLinked="1"/>
        <c:majorTickMark val="none"/>
        <c:minorTickMark val="none"/>
        <c:tickLblPos val="nextTo"/>
        <c:crossAx val="13336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[SuperMart_Sales_Analysis.xlsx]PIVOT 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TABLE'!$B$18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35D-46FC-B24B-577358FA904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35D-46FC-B24B-577358FA904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35D-46FC-B24B-577358FA904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35D-46FC-B24B-577358FA904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35D-46FC-B24B-577358FA904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35D-46FC-B24B-577358FA904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35D-46FC-B24B-577358FA904A}"/>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735D-46FC-B24B-577358FA904A}"/>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735D-46FC-B24B-577358FA904A}"/>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735D-46FC-B24B-577358FA904A}"/>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TABLE'!$A$19:$A$29</c:f>
              <c:strCache>
                <c:ptCount val="10"/>
                <c:pt idx="0">
                  <c:v>Bookshelf</c:v>
                </c:pt>
                <c:pt idx="1">
                  <c:v>Chair</c:v>
                </c:pt>
                <c:pt idx="2">
                  <c:v>Desk</c:v>
                </c:pt>
                <c:pt idx="3">
                  <c:v>Keyboard</c:v>
                </c:pt>
                <c:pt idx="4">
                  <c:v>Laptop</c:v>
                </c:pt>
                <c:pt idx="5">
                  <c:v>Monitor</c:v>
                </c:pt>
                <c:pt idx="6">
                  <c:v>Mouse</c:v>
                </c:pt>
                <c:pt idx="7">
                  <c:v>Phone</c:v>
                </c:pt>
                <c:pt idx="8">
                  <c:v>Printer</c:v>
                </c:pt>
                <c:pt idx="9">
                  <c:v>Sofa</c:v>
                </c:pt>
              </c:strCache>
            </c:strRef>
          </c:cat>
          <c:val>
            <c:numRef>
              <c:f>'PIVOT TABLE'!$B$19:$B$29</c:f>
              <c:numCache>
                <c:formatCode>General</c:formatCode>
                <c:ptCount val="10"/>
                <c:pt idx="0">
                  <c:v>8200</c:v>
                </c:pt>
                <c:pt idx="1">
                  <c:v>4500</c:v>
                </c:pt>
                <c:pt idx="2">
                  <c:v>14600</c:v>
                </c:pt>
                <c:pt idx="3">
                  <c:v>3000</c:v>
                </c:pt>
                <c:pt idx="4">
                  <c:v>29200</c:v>
                </c:pt>
                <c:pt idx="5">
                  <c:v>10900</c:v>
                </c:pt>
                <c:pt idx="6">
                  <c:v>1800</c:v>
                </c:pt>
                <c:pt idx="7">
                  <c:v>17600</c:v>
                </c:pt>
                <c:pt idx="8">
                  <c:v>7200</c:v>
                </c:pt>
                <c:pt idx="9">
                  <c:v>23600</c:v>
                </c:pt>
              </c:numCache>
            </c:numRef>
          </c:val>
          <c:extLst>
            <c:ext xmlns:c16="http://schemas.microsoft.com/office/drawing/2014/chart" uri="{C3380CC4-5D6E-409C-BE32-E72D297353CC}">
              <c16:uniqueId val="{00000014-735D-46FC-B24B-577358FA90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[SuperMart_Sales_Analysis.xlsx]PIVOT TABLE!PivotTable1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Wise Quantity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Britannic Bold" panose="020B0903060703020204" pitchFamily="34" charset="0"/>
                  <a:ea typeface="+mn-ea"/>
                  <a:cs typeface="+mn-cs"/>
                </a:defRPr>
              </a:pPr>
              <a:endParaRPr lang="en-US"/>
            </a:p>
          </c:txPr>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Britannic Bold" panose="020B0903060703020204" pitchFamily="34" charset="0"/>
                  <a:ea typeface="+mn-ea"/>
                  <a:cs typeface="+mn-cs"/>
                </a:defRPr>
              </a:pPr>
              <a:endParaRPr lang="en-US"/>
            </a:p>
          </c:txPr>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Britannic Bold" panose="020B0903060703020204" pitchFamily="34" charset="0"/>
                  <a:ea typeface="+mn-ea"/>
                  <a:cs typeface="+mn-cs"/>
                </a:defRPr>
              </a:pPr>
              <a:endParaRPr lang="en-US"/>
            </a:p>
          </c:txPr>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Britannic Bold" panose="020B0903060703020204" pitchFamily="34" charset="0"/>
                  <a:ea typeface="+mn-ea"/>
                  <a:cs typeface="+mn-cs"/>
                </a:defRPr>
              </a:pPr>
              <a:endParaRPr lang="en-US"/>
            </a:p>
          </c:txPr>
        </c:dLbl>
      </c:pivotFmt>
    </c:pivotFmts>
    <c:plotArea>
      <c:layout/>
      <c:barChart>
        <c:barDir val="bar"/>
        <c:grouping val="clustered"/>
        <c:varyColors val="0"/>
        <c:ser>
          <c:idx val="0"/>
          <c:order val="0"/>
          <c:tx>
            <c:strRef>
              <c:f>'PIVOT TABLE'!$J$1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TABLE'!$I$2:$I$14</c:f>
              <c:multiLvlStrCache>
                <c:ptCount val="10"/>
                <c:lvl>
                  <c:pt idx="0">
                    <c:v>Keyboard</c:v>
                  </c:pt>
                  <c:pt idx="1">
                    <c:v>Laptop</c:v>
                  </c:pt>
                  <c:pt idx="2">
                    <c:v>Monitor</c:v>
                  </c:pt>
                  <c:pt idx="3">
                    <c:v>Mouse</c:v>
                  </c:pt>
                  <c:pt idx="4">
                    <c:v>Phone</c:v>
                  </c:pt>
                  <c:pt idx="5">
                    <c:v>Printer</c:v>
                  </c:pt>
                  <c:pt idx="6">
                    <c:v>Bookshelf</c:v>
                  </c:pt>
                  <c:pt idx="7">
                    <c:v>Chair</c:v>
                  </c:pt>
                  <c:pt idx="8">
                    <c:v>Desk</c:v>
                  </c:pt>
                  <c:pt idx="9">
                    <c:v>Sofa</c:v>
                  </c:pt>
                </c:lvl>
                <c:lvl>
                  <c:pt idx="0">
                    <c:v>Electronics</c:v>
                  </c:pt>
                  <c:pt idx="6">
                    <c:v>Furniture</c:v>
                  </c:pt>
                </c:lvl>
              </c:multiLvlStrCache>
            </c:multiLvlStrRef>
          </c:cat>
          <c:val>
            <c:numRef>
              <c:f>'PIVOT TABLE'!$J$2:$J$14</c:f>
              <c:numCache>
                <c:formatCode>General</c:formatCode>
                <c:ptCount val="10"/>
                <c:pt idx="0">
                  <c:v>38</c:v>
                </c:pt>
                <c:pt idx="1">
                  <c:v>26</c:v>
                </c:pt>
                <c:pt idx="2">
                  <c:v>16</c:v>
                </c:pt>
                <c:pt idx="3">
                  <c:v>54</c:v>
                </c:pt>
                <c:pt idx="4">
                  <c:v>22</c:v>
                </c:pt>
                <c:pt idx="5">
                  <c:v>11</c:v>
                </c:pt>
                <c:pt idx="6">
                  <c:v>8</c:v>
                </c:pt>
                <c:pt idx="7">
                  <c:v>20</c:v>
                </c:pt>
                <c:pt idx="8">
                  <c:v>10</c:v>
                </c:pt>
                <c:pt idx="9">
                  <c:v>9</c:v>
                </c:pt>
              </c:numCache>
            </c:numRef>
          </c:val>
          <c:extLst>
            <c:ext xmlns:c16="http://schemas.microsoft.com/office/drawing/2014/chart" uri="{C3380CC4-5D6E-409C-BE32-E72D297353CC}">
              <c16:uniqueId val="{00000000-B93B-4410-8FD3-1C76768C993D}"/>
            </c:ext>
          </c:extLst>
        </c:ser>
        <c:dLbls>
          <c:showLegendKey val="0"/>
          <c:showVal val="0"/>
          <c:showCatName val="0"/>
          <c:showSerName val="0"/>
          <c:showPercent val="0"/>
          <c:showBubbleSize val="0"/>
        </c:dLbls>
        <c:gapWidth val="115"/>
        <c:overlap val="-20"/>
        <c:axId val="243129904"/>
        <c:axId val="240680496"/>
      </c:barChart>
      <c:catAx>
        <c:axId val="2431299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Bahnschrift Condensed" panose="020B0502040204020203" pitchFamily="34" charset="0"/>
                <a:ea typeface="+mn-ea"/>
                <a:cs typeface="+mn-cs"/>
              </a:defRPr>
            </a:pPr>
            <a:endParaRPr lang="en-US"/>
          </a:p>
        </c:txPr>
        <c:crossAx val="240680496"/>
        <c:crosses val="autoZero"/>
        <c:auto val="1"/>
        <c:lblAlgn val="ctr"/>
        <c:lblOffset val="100"/>
        <c:noMultiLvlLbl val="0"/>
      </c:catAx>
      <c:valAx>
        <c:axId val="240680496"/>
        <c:scaling>
          <c:orientation val="minMax"/>
        </c:scaling>
        <c:delete val="1"/>
        <c:axPos val="b"/>
        <c:numFmt formatCode="General" sourceLinked="1"/>
        <c:majorTickMark val="none"/>
        <c:minorTickMark val="none"/>
        <c:tickLblPos val="nextTo"/>
        <c:crossAx val="24312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166688</xdr:colOff>
      <xdr:row>0</xdr:row>
      <xdr:rowOff>1</xdr:rowOff>
    </xdr:from>
    <xdr:to>
      <xdr:col>7</xdr:col>
      <xdr:colOff>0</xdr:colOff>
      <xdr:row>11</xdr:row>
      <xdr:rowOff>95250</xdr:rowOff>
    </xdr:to>
    <xdr:graphicFrame macro="">
      <xdr:nvGraphicFramePr>
        <xdr:cNvPr id="2" name="Chart 1">
          <a:extLst>
            <a:ext uri="{FF2B5EF4-FFF2-40B4-BE49-F238E27FC236}">
              <a16:creationId xmlns:a16="http://schemas.microsoft.com/office/drawing/2014/main" id="{2403D8F9-E021-49CF-A14F-0099FC584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16</xdr:row>
      <xdr:rowOff>176212</xdr:rowOff>
    </xdr:from>
    <xdr:to>
      <xdr:col>15</xdr:col>
      <xdr:colOff>142875</xdr:colOff>
      <xdr:row>31</xdr:row>
      <xdr:rowOff>61912</xdr:rowOff>
    </xdr:to>
    <xdr:graphicFrame macro="">
      <xdr:nvGraphicFramePr>
        <xdr:cNvPr id="3" name="Chart 2">
          <a:extLst>
            <a:ext uri="{FF2B5EF4-FFF2-40B4-BE49-F238E27FC236}">
              <a16:creationId xmlns:a16="http://schemas.microsoft.com/office/drawing/2014/main" id="{0DB01E09-324A-4F63-BD0C-ACB4306A4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403860</xdr:colOff>
      <xdr:row>0</xdr:row>
      <xdr:rowOff>0</xdr:rowOff>
    </xdr:from>
    <xdr:to>
      <xdr:col>14</xdr:col>
      <xdr:colOff>30480</xdr:colOff>
      <xdr:row>13</xdr:row>
      <xdr:rowOff>38100</xdr:rowOff>
    </xdr:to>
    <xdr:graphicFrame macro="">
      <xdr:nvGraphicFramePr>
        <xdr:cNvPr id="2" name="Chart 1">
          <a:extLst>
            <a:ext uri="{FF2B5EF4-FFF2-40B4-BE49-F238E27FC236}">
              <a16:creationId xmlns:a16="http://schemas.microsoft.com/office/drawing/2014/main" id="{6ECDF986-B5CC-46C5-B491-501F474DD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381000</xdr:colOff>
      <xdr:row>13</xdr:row>
      <xdr:rowOff>30480</xdr:rowOff>
    </xdr:from>
    <xdr:to>
      <xdr:col>14</xdr:col>
      <xdr:colOff>30479</xdr:colOff>
      <xdr:row>27</xdr:row>
      <xdr:rowOff>99060</xdr:rowOff>
    </xdr:to>
    <xdr:graphicFrame macro="">
      <xdr:nvGraphicFramePr>
        <xdr:cNvPr id="3" name="Chart 2">
          <a:extLst>
            <a:ext uri="{FF2B5EF4-FFF2-40B4-BE49-F238E27FC236}">
              <a16:creationId xmlns:a16="http://schemas.microsoft.com/office/drawing/2014/main" id="{90A4E4A0-FF9C-4B92-8CE9-ED5A79913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13</xdr:row>
      <xdr:rowOff>22860</xdr:rowOff>
    </xdr:from>
    <xdr:to>
      <xdr:col>6</xdr:col>
      <xdr:colOff>403860</xdr:colOff>
      <xdr:row>27</xdr:row>
      <xdr:rowOff>99060</xdr:rowOff>
    </xdr:to>
    <xdr:graphicFrame macro="">
      <xdr:nvGraphicFramePr>
        <xdr:cNvPr id="4" name="Chart 3">
          <a:extLst>
            <a:ext uri="{FF2B5EF4-FFF2-40B4-BE49-F238E27FC236}">
              <a16:creationId xmlns:a16="http://schemas.microsoft.com/office/drawing/2014/main" id="{2B078AFD-02B9-4C10-B205-3953BA4A9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13</xdr:row>
      <xdr:rowOff>7620</xdr:rowOff>
    </xdr:from>
    <xdr:to>
      <xdr:col>21</xdr:col>
      <xdr:colOff>335280</xdr:colOff>
      <xdr:row>27</xdr:row>
      <xdr:rowOff>106680</xdr:rowOff>
    </xdr:to>
    <xdr:graphicFrame macro="">
      <xdr:nvGraphicFramePr>
        <xdr:cNvPr id="5" name="Chart 4">
          <a:extLst>
            <a:ext uri="{FF2B5EF4-FFF2-40B4-BE49-F238E27FC236}">
              <a16:creationId xmlns:a16="http://schemas.microsoft.com/office/drawing/2014/main" id="{A515A518-B0E5-4A1A-B0C4-8E1636F11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7620</xdr:colOff>
      <xdr:row>0</xdr:row>
      <xdr:rowOff>0</xdr:rowOff>
    </xdr:from>
    <xdr:to>
      <xdr:col>21</xdr:col>
      <xdr:colOff>320040</xdr:colOff>
      <xdr:row>13</xdr:row>
      <xdr:rowOff>38100</xdr:rowOff>
    </xdr:to>
    <xdr:graphicFrame macro="">
      <xdr:nvGraphicFramePr>
        <xdr:cNvPr id="6" name="Chart 5">
          <a:extLst>
            <a:ext uri="{FF2B5EF4-FFF2-40B4-BE49-F238E27FC236}">
              <a16:creationId xmlns:a16="http://schemas.microsoft.com/office/drawing/2014/main" id="{981FD501-9630-4AAB-9897-99861ADC2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0</xdr:rowOff>
    </xdr:from>
    <xdr:to>
      <xdr:col>6</xdr:col>
      <xdr:colOff>403860</xdr:colOff>
      <xdr:row>13</xdr:row>
      <xdr:rowOff>30480</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74E5BDAF-271E-4215-87AC-9F222FB2404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0"/>
              <a:ext cx="4061460" cy="2407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8.895735995371" createdVersion="6" refreshedVersion="6" minRefreshableVersion="3" recordCount="40" xr:uid="{A8B25F6A-62DE-48C4-B540-299CBA6F32F9}">
  <cacheSource type="worksheet">
    <worksheetSource ref="A1:H41" sheet="Formula And Function"/>
  </cacheSource>
  <cacheFields count="8">
    <cacheField name="Product id" numFmtId="0">
      <sharedItems/>
    </cacheField>
    <cacheField name="Date" numFmtId="0">
      <sharedItems count="40">
        <s v="2024-01-03"/>
        <s v="2024-01-05"/>
        <s v="2024-01-07"/>
        <s v="2024-01-09"/>
        <s v="2024-01-11"/>
        <s v="2024-01-13"/>
        <s v="2024-01-15"/>
        <s v="2024-01-17"/>
        <s v="2024-01-19"/>
        <s v="2024-01-21"/>
        <s v="2024-02-01"/>
        <s v="2024-02-03"/>
        <s v="2024-02-05"/>
        <s v="2024-02-07"/>
        <s v="2024-02-09"/>
        <s v="2024-02-11"/>
        <s v="2024-02-13"/>
        <s v="2024-02-15"/>
        <s v="2024-02-17"/>
        <s v="2024-02-19"/>
        <s v="2024-03-01"/>
        <s v="2024-03-03"/>
        <s v="2024-03-05"/>
        <s v="2024-03-07"/>
        <s v="2024-03-09"/>
        <s v="2024-03-11"/>
        <s v="2024-03-13"/>
        <s v="2024-03-15"/>
        <s v="2024-03-17"/>
        <s v="2024-03-19"/>
        <s v="2024-03-21"/>
        <s v="2024-03-23"/>
        <s v="2024-03-25"/>
        <s v="2024-03-27"/>
        <s v="2024-03-29"/>
        <s v="2024-03-30"/>
        <s v="2024-04-01"/>
        <s v="2024-04-03"/>
        <s v="2024-04-05"/>
        <s v="2024-04-07"/>
      </sharedItems>
    </cacheField>
    <cacheField name="Region" numFmtId="0">
      <sharedItems count="4">
        <s v="North"/>
        <s v="South"/>
        <s v="East"/>
        <s v="West"/>
      </sharedItems>
    </cacheField>
    <cacheField name="Product" numFmtId="0">
      <sharedItems count="10">
        <s v="Laptop"/>
        <s v="Printer"/>
        <s v="Chair"/>
        <s v="Desk"/>
        <s v="Phone"/>
        <s v="Keyboard"/>
        <s v="Sofa"/>
        <s v="Monitor"/>
        <s v="Mouse"/>
        <s v="Bookshelf"/>
      </sharedItems>
    </cacheField>
    <cacheField name="Category" numFmtId="0">
      <sharedItems count="2">
        <s v="Electronics"/>
        <s v="Furniture"/>
      </sharedItems>
    </cacheField>
    <cacheField name="Sales" numFmtId="0">
      <sharedItems containsSemiMixedTypes="0" containsString="0" containsNumber="1" containsInteger="1" minValue="2000" maxValue="60000"/>
    </cacheField>
    <cacheField name="Quantity" numFmtId="0">
      <sharedItems containsSemiMixedTypes="0" containsString="0" containsNumber="1" containsInteger="1" minValue="1" maxValue="15"/>
    </cacheField>
    <cacheField name="Profit" numFmtId="0">
      <sharedItems containsSemiMixedTypes="0" containsString="0" containsNumber="1" containsInteger="1" minValue="300" maxValue="8000"/>
    </cacheField>
  </cacheFields>
  <extLst>
    <ext xmlns:x14="http://schemas.microsoft.com/office/spreadsheetml/2009/9/main" uri="{725AE2AE-9491-48be-B2B4-4EB974FC3084}">
      <x14:pivotCacheDefinition pivotCacheId="1700171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PD-1"/>
    <x v="0"/>
    <x v="0"/>
    <x v="0"/>
    <x v="0"/>
    <n v="54000"/>
    <n v="5"/>
    <n v="6500"/>
  </r>
  <r>
    <s v="PD-2"/>
    <x v="1"/>
    <x v="1"/>
    <x v="1"/>
    <x v="0"/>
    <n v="12000"/>
    <n v="2"/>
    <n v="1500"/>
  </r>
  <r>
    <s v="PD-3"/>
    <x v="2"/>
    <x v="2"/>
    <x v="2"/>
    <x v="1"/>
    <n v="8000"/>
    <n v="4"/>
    <n v="900"/>
  </r>
  <r>
    <s v="PD-4"/>
    <x v="3"/>
    <x v="3"/>
    <x v="3"/>
    <x v="1"/>
    <n v="22000"/>
    <n v="3"/>
    <n v="3500"/>
  </r>
  <r>
    <s v="PD-5"/>
    <x v="4"/>
    <x v="0"/>
    <x v="4"/>
    <x v="0"/>
    <n v="30000"/>
    <n v="6"/>
    <n v="4200"/>
  </r>
  <r>
    <s v="PD-6"/>
    <x v="5"/>
    <x v="1"/>
    <x v="5"/>
    <x v="0"/>
    <n v="4000"/>
    <n v="10"/>
    <n v="600"/>
  </r>
  <r>
    <s v="PD-7"/>
    <x v="6"/>
    <x v="2"/>
    <x v="6"/>
    <x v="1"/>
    <n v="48000"/>
    <n v="2"/>
    <n v="5500"/>
  </r>
  <r>
    <s v="PD-8"/>
    <x v="7"/>
    <x v="3"/>
    <x v="7"/>
    <x v="0"/>
    <n v="18000"/>
    <n v="4"/>
    <n v="2500"/>
  </r>
  <r>
    <s v="PD-9"/>
    <x v="8"/>
    <x v="0"/>
    <x v="8"/>
    <x v="0"/>
    <n v="2000"/>
    <n v="15"/>
    <n v="300"/>
  </r>
  <r>
    <s v="PD-10"/>
    <x v="9"/>
    <x v="1"/>
    <x v="9"/>
    <x v="1"/>
    <n v="15000"/>
    <n v="1"/>
    <n v="1800"/>
  </r>
  <r>
    <s v="PD-11"/>
    <x v="10"/>
    <x v="2"/>
    <x v="0"/>
    <x v="0"/>
    <n v="56000"/>
    <n v="6"/>
    <n v="7200"/>
  </r>
  <r>
    <s v="PD-12"/>
    <x v="11"/>
    <x v="3"/>
    <x v="1"/>
    <x v="0"/>
    <n v="13000"/>
    <n v="3"/>
    <n v="1700"/>
  </r>
  <r>
    <s v="PD-13"/>
    <x v="12"/>
    <x v="0"/>
    <x v="3"/>
    <x v="1"/>
    <n v="24000"/>
    <n v="2"/>
    <n v="3600"/>
  </r>
  <r>
    <s v="PD-14"/>
    <x v="13"/>
    <x v="1"/>
    <x v="4"/>
    <x v="0"/>
    <n v="32000"/>
    <n v="5"/>
    <n v="4300"/>
  </r>
  <r>
    <s v="PD-15"/>
    <x v="14"/>
    <x v="2"/>
    <x v="2"/>
    <x v="1"/>
    <n v="9000"/>
    <n v="5"/>
    <n v="1100"/>
  </r>
  <r>
    <s v="PD-16"/>
    <x v="15"/>
    <x v="3"/>
    <x v="5"/>
    <x v="0"/>
    <n v="4500"/>
    <n v="8"/>
    <n v="700"/>
  </r>
  <r>
    <s v="PD-17"/>
    <x v="16"/>
    <x v="0"/>
    <x v="6"/>
    <x v="1"/>
    <n v="49000"/>
    <n v="2"/>
    <n v="5600"/>
  </r>
  <r>
    <s v="PD-18"/>
    <x v="17"/>
    <x v="1"/>
    <x v="7"/>
    <x v="0"/>
    <n v="19000"/>
    <n v="4"/>
    <n v="2600"/>
  </r>
  <r>
    <s v="PD-19"/>
    <x v="18"/>
    <x v="2"/>
    <x v="8"/>
    <x v="0"/>
    <n v="2500"/>
    <n v="12"/>
    <n v="400"/>
  </r>
  <r>
    <s v="PD-20"/>
    <x v="19"/>
    <x v="3"/>
    <x v="9"/>
    <x v="1"/>
    <n v="17000"/>
    <n v="2"/>
    <n v="2000"/>
  </r>
  <r>
    <s v="PD-21"/>
    <x v="20"/>
    <x v="0"/>
    <x v="0"/>
    <x v="0"/>
    <n v="58000"/>
    <n v="7"/>
    <n v="7500"/>
  </r>
  <r>
    <s v="PD-22"/>
    <x v="21"/>
    <x v="1"/>
    <x v="1"/>
    <x v="0"/>
    <n v="14000"/>
    <n v="3"/>
    <n v="1900"/>
  </r>
  <r>
    <s v="PD-23"/>
    <x v="22"/>
    <x v="2"/>
    <x v="2"/>
    <x v="1"/>
    <n v="9500"/>
    <n v="6"/>
    <n v="1200"/>
  </r>
  <r>
    <s v="PD-24"/>
    <x v="23"/>
    <x v="3"/>
    <x v="3"/>
    <x v="1"/>
    <n v="26000"/>
    <n v="2"/>
    <n v="3700"/>
  </r>
  <r>
    <s v="PD-25"/>
    <x v="24"/>
    <x v="0"/>
    <x v="4"/>
    <x v="0"/>
    <n v="33000"/>
    <n v="5"/>
    <n v="4500"/>
  </r>
  <r>
    <s v="PD-26"/>
    <x v="25"/>
    <x v="1"/>
    <x v="5"/>
    <x v="0"/>
    <n v="4800"/>
    <n v="9"/>
    <n v="800"/>
  </r>
  <r>
    <s v="PD-27"/>
    <x v="26"/>
    <x v="2"/>
    <x v="6"/>
    <x v="1"/>
    <n v="50000"/>
    <n v="3"/>
    <n v="6000"/>
  </r>
  <r>
    <s v="PD-28"/>
    <x v="27"/>
    <x v="3"/>
    <x v="7"/>
    <x v="0"/>
    <n v="20000"/>
    <n v="4"/>
    <n v="2800"/>
  </r>
  <r>
    <s v="PD-29"/>
    <x v="28"/>
    <x v="0"/>
    <x v="8"/>
    <x v="0"/>
    <n v="3000"/>
    <n v="13"/>
    <n v="500"/>
  </r>
  <r>
    <s v="PD-30"/>
    <x v="29"/>
    <x v="1"/>
    <x v="9"/>
    <x v="1"/>
    <n v="18000"/>
    <n v="2"/>
    <n v="2100"/>
  </r>
  <r>
    <s v="PD-31"/>
    <x v="30"/>
    <x v="2"/>
    <x v="0"/>
    <x v="0"/>
    <n v="60000"/>
    <n v="8"/>
    <n v="8000"/>
  </r>
  <r>
    <s v="PD-32"/>
    <x v="31"/>
    <x v="3"/>
    <x v="1"/>
    <x v="0"/>
    <n v="15000"/>
    <n v="3"/>
    <n v="2100"/>
  </r>
  <r>
    <s v="PD-33"/>
    <x v="32"/>
    <x v="0"/>
    <x v="3"/>
    <x v="1"/>
    <n v="27000"/>
    <n v="3"/>
    <n v="3800"/>
  </r>
  <r>
    <s v="PD-34"/>
    <x v="33"/>
    <x v="1"/>
    <x v="4"/>
    <x v="0"/>
    <n v="34000"/>
    <n v="6"/>
    <n v="4600"/>
  </r>
  <r>
    <s v="PD-35"/>
    <x v="34"/>
    <x v="2"/>
    <x v="2"/>
    <x v="1"/>
    <n v="10000"/>
    <n v="5"/>
    <n v="1300"/>
  </r>
  <r>
    <s v="PD-36"/>
    <x v="35"/>
    <x v="3"/>
    <x v="5"/>
    <x v="0"/>
    <n v="5000"/>
    <n v="11"/>
    <n v="900"/>
  </r>
  <r>
    <s v="PD-37"/>
    <x v="36"/>
    <x v="0"/>
    <x v="6"/>
    <x v="1"/>
    <n v="52000"/>
    <n v="2"/>
    <n v="6500"/>
  </r>
  <r>
    <s v="PD-38"/>
    <x v="37"/>
    <x v="1"/>
    <x v="7"/>
    <x v="0"/>
    <n v="21000"/>
    <n v="4"/>
    <n v="3000"/>
  </r>
  <r>
    <s v="PD-39"/>
    <x v="38"/>
    <x v="2"/>
    <x v="8"/>
    <x v="0"/>
    <n v="3500"/>
    <n v="14"/>
    <n v="600"/>
  </r>
  <r>
    <s v="PD-40"/>
    <x v="39"/>
    <x v="3"/>
    <x v="9"/>
    <x v="1"/>
    <n v="19000"/>
    <n v="3"/>
    <n v="2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984C95-F82E-4DB9-A134-66D6B5CE3109}"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I1:J14" firstHeaderRow="1" firstDataRow="1" firstDataCol="1"/>
  <pivotFields count="8">
    <pivotField showAll="0"/>
    <pivotField showAll="0"/>
    <pivotField showAll="0">
      <items count="5">
        <item x="2"/>
        <item x="0"/>
        <item x="1"/>
        <item x="3"/>
        <item t="default"/>
      </items>
    </pivotField>
    <pivotField axis="axisRow" showAll="0">
      <items count="11">
        <item x="9"/>
        <item x="2"/>
        <item x="3"/>
        <item x="5"/>
        <item x="0"/>
        <item x="7"/>
        <item x="8"/>
        <item x="4"/>
        <item x="1"/>
        <item x="6"/>
        <item t="default"/>
      </items>
    </pivotField>
    <pivotField axis="axisRow" showAll="0">
      <items count="3">
        <item x="0"/>
        <item x="1"/>
        <item t="default"/>
      </items>
    </pivotField>
    <pivotField showAll="0"/>
    <pivotField dataField="1" showAll="0"/>
    <pivotField showAll="0"/>
  </pivotFields>
  <rowFields count="2">
    <field x="4"/>
    <field x="3"/>
  </rowFields>
  <rowItems count="13">
    <i>
      <x/>
    </i>
    <i r="1">
      <x v="3"/>
    </i>
    <i r="1">
      <x v="4"/>
    </i>
    <i r="1">
      <x v="5"/>
    </i>
    <i r="1">
      <x v="6"/>
    </i>
    <i r="1">
      <x v="7"/>
    </i>
    <i r="1">
      <x v="8"/>
    </i>
    <i>
      <x v="1"/>
    </i>
    <i r="1">
      <x/>
    </i>
    <i r="1">
      <x v="1"/>
    </i>
    <i r="1">
      <x v="2"/>
    </i>
    <i r="1">
      <x v="9"/>
    </i>
    <i t="grand">
      <x/>
    </i>
  </rowItems>
  <colItems count="1">
    <i/>
  </colItems>
  <dataFields count="1">
    <dataField name="Sum of Quantity" fld="6" baseField="0" baseItem="0"/>
  </dataFields>
  <chartFormats count="5">
    <chartFormat chart="7" format="2" series="1">
      <pivotArea type="data" outline="0" fieldPosition="0">
        <references count="1">
          <reference field="4294967294" count="1" selected="0">
            <x v="0"/>
          </reference>
        </references>
      </pivotArea>
    </chartFormat>
    <chartFormat chart="7" format="3">
      <pivotArea type="data" outline="0" fieldPosition="0">
        <references count="3">
          <reference field="4294967294" count="1" selected="0">
            <x v="0"/>
          </reference>
          <reference field="3" count="1" selected="0">
            <x v="0"/>
          </reference>
          <reference field="4" count="1" selected="0">
            <x v="1"/>
          </reference>
        </references>
      </pivotArea>
    </chartFormat>
    <chartFormat chart="7" format="4">
      <pivotArea type="data" outline="0" fieldPosition="0">
        <references count="3">
          <reference field="4294967294" count="1" selected="0">
            <x v="0"/>
          </reference>
          <reference field="3" count="1" selected="0">
            <x v="1"/>
          </reference>
          <reference field="4" count="1" selected="0">
            <x v="1"/>
          </reference>
        </references>
      </pivotArea>
    </chartFormat>
    <chartFormat chart="7" format="5">
      <pivotArea type="data" outline="0" fieldPosition="0">
        <references count="3">
          <reference field="4294967294" count="1" selected="0">
            <x v="0"/>
          </reference>
          <reference field="3" count="1" selected="0">
            <x v="2"/>
          </reference>
          <reference field="4" count="1" selected="0">
            <x v="1"/>
          </reference>
        </references>
      </pivotArea>
    </chartFormat>
    <chartFormat chart="7" format="6">
      <pivotArea type="data" outline="0" fieldPosition="0">
        <references count="3">
          <reference field="4294967294" count="1" selected="0">
            <x v="0"/>
          </reference>
          <reference field="3" count="1" selected="0">
            <x v="9"/>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039C55-94CE-41B7-BF3F-8F0BBA7FC7D6}"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G18:H59" firstHeaderRow="1" firstDataRow="1" firstDataCol="1"/>
  <pivotFields count="8">
    <pivotField showAll="0"/>
    <pivotField axis="axisRow"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5">
        <item x="2"/>
        <item x="0"/>
        <item x="1"/>
        <item x="3"/>
        <item t="default"/>
      </items>
    </pivotField>
    <pivotField showAll="0">
      <items count="11">
        <item x="9"/>
        <item x="2"/>
        <item x="3"/>
        <item x="5"/>
        <item x="0"/>
        <item x="7"/>
        <item x="8"/>
        <item x="4"/>
        <item x="1"/>
        <item x="6"/>
        <item t="default"/>
      </items>
    </pivotField>
    <pivotField showAll="0">
      <items count="3">
        <item x="0"/>
        <item x="1"/>
        <item t="default"/>
      </items>
    </pivotField>
    <pivotField dataField="1" showAll="0"/>
    <pivotField showAll="0"/>
    <pivotField showAll="0"/>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Sales" fld="5" baseField="0" baseItem="0"/>
  </dataFields>
  <formats count="2">
    <format dxfId="43">
      <pivotArea field="1" type="button" dataOnly="0" labelOnly="1" outline="0" axis="axisRow" fieldPosition="0"/>
    </format>
    <format dxfId="42">
      <pivotArea dataOnly="0" labelOnly="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4406C4-D1DD-4211-AFD8-A06F7DE2A28D}"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D18:E21" firstHeaderRow="1" firstDataRow="1" firstDataCol="1"/>
  <pivotFields count="8">
    <pivotField showAll="0"/>
    <pivotField showAll="0"/>
    <pivotField showAll="0">
      <items count="5">
        <item x="2"/>
        <item x="0"/>
        <item x="1"/>
        <item x="3"/>
        <item t="default"/>
      </items>
    </pivotField>
    <pivotField showAll="0">
      <items count="11">
        <item x="9"/>
        <item x="2"/>
        <item x="3"/>
        <item x="5"/>
        <item x="0"/>
        <item x="7"/>
        <item x="8"/>
        <item x="4"/>
        <item x="1"/>
        <item x="6"/>
        <item t="default"/>
      </items>
    </pivotField>
    <pivotField axis="axisRow" showAll="0">
      <items count="3">
        <item x="0"/>
        <item x="1"/>
        <item t="default"/>
      </items>
    </pivotField>
    <pivotField dataField="1" showAll="0"/>
    <pivotField showAll="0"/>
    <pivotField showAll="0"/>
  </pivotFields>
  <rowFields count="1">
    <field x="4"/>
  </rowFields>
  <rowItems count="3">
    <i>
      <x/>
    </i>
    <i>
      <x v="1"/>
    </i>
    <i t="grand">
      <x/>
    </i>
  </rowItems>
  <colItems count="1">
    <i/>
  </colItems>
  <dataFields count="1">
    <dataField name="Sum of Sales" fld="5"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0DE9CD-86B5-4DDE-AEE8-47CD8304B6DA}"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18:B29" firstHeaderRow="1" firstDataRow="1" firstDataCol="1"/>
  <pivotFields count="8">
    <pivotField showAll="0"/>
    <pivotField showAll="0"/>
    <pivotField showAll="0">
      <items count="5">
        <item x="2"/>
        <item x="0"/>
        <item x="1"/>
        <item x="3"/>
        <item t="default"/>
      </items>
    </pivotField>
    <pivotField axis="axisRow" showAll="0">
      <items count="11">
        <item x="9"/>
        <item x="2"/>
        <item x="3"/>
        <item x="5"/>
        <item x="0"/>
        <item x="7"/>
        <item x="8"/>
        <item x="4"/>
        <item x="1"/>
        <item x="6"/>
        <item t="default"/>
      </items>
    </pivotField>
    <pivotField showAll="0">
      <items count="3">
        <item x="0"/>
        <item x="1"/>
        <item t="default"/>
      </items>
    </pivotField>
    <pivotField showAll="0"/>
    <pivotField showAll="0"/>
    <pivotField dataField="1" showAll="0"/>
  </pivotFields>
  <rowFields count="1">
    <field x="3"/>
  </rowFields>
  <rowItems count="11">
    <i>
      <x/>
    </i>
    <i>
      <x v="1"/>
    </i>
    <i>
      <x v="2"/>
    </i>
    <i>
      <x v="3"/>
    </i>
    <i>
      <x v="4"/>
    </i>
    <i>
      <x v="5"/>
    </i>
    <i>
      <x v="6"/>
    </i>
    <i>
      <x v="7"/>
    </i>
    <i>
      <x v="8"/>
    </i>
    <i>
      <x v="9"/>
    </i>
    <i t="grand">
      <x/>
    </i>
  </rowItems>
  <colItems count="1">
    <i/>
  </colItems>
  <dataFields count="1">
    <dataField name="Sum of Profit" fld="7" baseField="0" baseItem="0"/>
  </dataFields>
  <chartFormats count="11">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0"/>
          </reference>
        </references>
      </pivotArea>
    </chartFormat>
    <chartFormat chart="3" format="14">
      <pivotArea type="data" outline="0" fieldPosition="0">
        <references count="2">
          <reference field="4294967294" count="1" selected="0">
            <x v="0"/>
          </reference>
          <reference field="3" count="1" selected="0">
            <x v="1"/>
          </reference>
        </references>
      </pivotArea>
    </chartFormat>
    <chartFormat chart="3" format="15">
      <pivotArea type="data" outline="0" fieldPosition="0">
        <references count="2">
          <reference field="4294967294" count="1" selected="0">
            <x v="0"/>
          </reference>
          <reference field="3" count="1" selected="0">
            <x v="2"/>
          </reference>
        </references>
      </pivotArea>
    </chartFormat>
    <chartFormat chart="3" format="16">
      <pivotArea type="data" outline="0" fieldPosition="0">
        <references count="2">
          <reference field="4294967294" count="1" selected="0">
            <x v="0"/>
          </reference>
          <reference field="3" count="1" selected="0">
            <x v="3"/>
          </reference>
        </references>
      </pivotArea>
    </chartFormat>
    <chartFormat chart="3" format="17">
      <pivotArea type="data" outline="0" fieldPosition="0">
        <references count="2">
          <reference field="4294967294" count="1" selected="0">
            <x v="0"/>
          </reference>
          <reference field="3" count="1" selected="0">
            <x v="4"/>
          </reference>
        </references>
      </pivotArea>
    </chartFormat>
    <chartFormat chart="3" format="18">
      <pivotArea type="data" outline="0" fieldPosition="0">
        <references count="2">
          <reference field="4294967294" count="1" selected="0">
            <x v="0"/>
          </reference>
          <reference field="3" count="1" selected="0">
            <x v="5"/>
          </reference>
        </references>
      </pivotArea>
    </chartFormat>
    <chartFormat chart="3" format="19">
      <pivotArea type="data" outline="0" fieldPosition="0">
        <references count="2">
          <reference field="4294967294" count="1" selected="0">
            <x v="0"/>
          </reference>
          <reference field="3" count="1" selected="0">
            <x v="6"/>
          </reference>
        </references>
      </pivotArea>
    </chartFormat>
    <chartFormat chart="3" format="20">
      <pivotArea type="data" outline="0" fieldPosition="0">
        <references count="2">
          <reference field="4294967294" count="1" selected="0">
            <x v="0"/>
          </reference>
          <reference field="3" count="1" selected="0">
            <x v="7"/>
          </reference>
        </references>
      </pivotArea>
    </chartFormat>
    <chartFormat chart="3" format="21">
      <pivotArea type="data" outline="0" fieldPosition="0">
        <references count="2">
          <reference field="4294967294" count="1" selected="0">
            <x v="0"/>
          </reference>
          <reference field="3" count="1" selected="0">
            <x v="8"/>
          </reference>
        </references>
      </pivotArea>
    </chartFormat>
    <chartFormat chart="3" format="22">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EF4313-7574-4E6E-9C92-9F43C044B974}"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1:B6" firstHeaderRow="1" firstDataRow="1" firstDataCol="1"/>
  <pivotFields count="8">
    <pivotField showAll="0"/>
    <pivotField showAll="0"/>
    <pivotField axis="axisRow" showAll="0">
      <items count="5">
        <item x="2"/>
        <item x="0"/>
        <item x="1"/>
        <item x="3"/>
        <item t="default"/>
      </items>
    </pivotField>
    <pivotField showAll="0">
      <items count="11">
        <item x="9"/>
        <item x="2"/>
        <item x="3"/>
        <item x="5"/>
        <item x="0"/>
        <item x="7"/>
        <item x="8"/>
        <item x="4"/>
        <item x="1"/>
        <item x="6"/>
        <item t="default"/>
      </items>
    </pivotField>
    <pivotField showAll="0"/>
    <pivotField dataField="1" showAll="0"/>
    <pivotField showAll="0"/>
    <pivotField showAll="0"/>
  </pivotFields>
  <rowFields count="1">
    <field x="2"/>
  </rowFields>
  <rowItems count="5">
    <i>
      <x/>
    </i>
    <i>
      <x v="1"/>
    </i>
    <i>
      <x v="2"/>
    </i>
    <i>
      <x v="3"/>
    </i>
    <i t="grand">
      <x/>
    </i>
  </rowItems>
  <colItems count="1">
    <i/>
  </colItems>
  <dataFields count="1">
    <dataField name="Sum of Sales" fld="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B771F2F-7515-4307-9DDF-23F3A872A0C0}" sourceName="Product">
  <pivotTables>
    <pivotTable tabId="3" name="PivotTable3"/>
    <pivotTable tabId="3" name="PivotTable1"/>
    <pivotTable tabId="3" name="PivotTable2"/>
    <pivotTable tabId="3" name="PivotTable4"/>
    <pivotTable tabId="3" name="PivotTable5"/>
  </pivotTables>
  <data>
    <tabular pivotCacheId="1700171193">
      <items count="10">
        <i x="9" s="1"/>
        <i x="2" s="1"/>
        <i x="3" s="1"/>
        <i x="5" s="1"/>
        <i x="0" s="1"/>
        <i x="7" s="1"/>
        <i x="8" s="1"/>
        <i x="4"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6E1617F-2286-4032-B1DD-1A395E6FBF26}" cache="Slicer_Product" caption="Product" columnCount="2" style="SlicerStyleDark1"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1"/>
  <sheetViews>
    <sheetView workbookViewId="0">
      <selection activeCell="D2" sqref="D2"/>
    </sheetView>
  </sheetViews>
  <sheetFormatPr defaultRowHeight="14.4" x14ac:dyDescent="0.3"/>
  <cols>
    <col min="2" max="2" width="10.44140625" bestFit="1" customWidth="1"/>
    <col min="3" max="3" width="7.109375" bestFit="1" customWidth="1"/>
    <col min="4" max="4" width="9.88671875" bestFit="1" customWidth="1"/>
    <col min="5" max="5" width="10.5546875" bestFit="1" customWidth="1"/>
    <col min="6" max="6" width="6" bestFit="1" customWidth="1"/>
    <col min="7" max="7" width="8.6640625" bestFit="1" customWidth="1"/>
    <col min="8" max="8" width="6" bestFit="1" customWidth="1"/>
  </cols>
  <sheetData>
    <row r="1" spans="1:8" x14ac:dyDescent="0.3">
      <c r="A1" s="2" t="s">
        <v>76</v>
      </c>
      <c r="B1" s="2" t="s">
        <v>0</v>
      </c>
      <c r="C1" s="2" t="s">
        <v>1</v>
      </c>
      <c r="D1" s="2" t="s">
        <v>2</v>
      </c>
      <c r="E1" s="2" t="s">
        <v>3</v>
      </c>
      <c r="F1" s="2" t="s">
        <v>4</v>
      </c>
      <c r="G1" s="2" t="s">
        <v>5</v>
      </c>
      <c r="H1" s="2" t="s">
        <v>6</v>
      </c>
    </row>
    <row r="2" spans="1:8" x14ac:dyDescent="0.3">
      <c r="A2" s="9" t="s">
        <v>77</v>
      </c>
      <c r="B2" s="1" t="s">
        <v>7</v>
      </c>
      <c r="C2" s="1" t="s">
        <v>8</v>
      </c>
      <c r="D2" s="1" t="s">
        <v>9</v>
      </c>
      <c r="E2" s="1" t="s">
        <v>10</v>
      </c>
      <c r="F2" s="1">
        <v>54000</v>
      </c>
      <c r="G2" s="1">
        <v>5</v>
      </c>
      <c r="H2" s="1">
        <v>6500</v>
      </c>
    </row>
    <row r="3" spans="1:8" x14ac:dyDescent="0.3">
      <c r="A3" s="9" t="s">
        <v>78</v>
      </c>
      <c r="B3" s="1" t="s">
        <v>11</v>
      </c>
      <c r="C3" s="1" t="s">
        <v>12</v>
      </c>
      <c r="D3" s="1" t="s">
        <v>13</v>
      </c>
      <c r="E3" s="1" t="s">
        <v>10</v>
      </c>
      <c r="F3" s="1">
        <v>12000</v>
      </c>
      <c r="G3" s="1">
        <v>2</v>
      </c>
      <c r="H3" s="1">
        <v>1500</v>
      </c>
    </row>
    <row r="4" spans="1:8" x14ac:dyDescent="0.3">
      <c r="A4" s="9" t="s">
        <v>79</v>
      </c>
      <c r="B4" s="1" t="s">
        <v>14</v>
      </c>
      <c r="C4" s="1" t="s">
        <v>15</v>
      </c>
      <c r="D4" s="1" t="s">
        <v>16</v>
      </c>
      <c r="E4" s="1" t="s">
        <v>17</v>
      </c>
      <c r="F4" s="1">
        <v>8000</v>
      </c>
      <c r="G4" s="1">
        <v>4</v>
      </c>
      <c r="H4" s="1">
        <v>900</v>
      </c>
    </row>
    <row r="5" spans="1:8" x14ac:dyDescent="0.3">
      <c r="A5" s="9" t="s">
        <v>80</v>
      </c>
      <c r="B5" s="1" t="s">
        <v>18</v>
      </c>
      <c r="C5" s="1" t="s">
        <v>19</v>
      </c>
      <c r="D5" s="1" t="s">
        <v>20</v>
      </c>
      <c r="E5" s="1" t="s">
        <v>17</v>
      </c>
      <c r="F5" s="1">
        <v>22000</v>
      </c>
      <c r="G5" s="1">
        <v>3</v>
      </c>
      <c r="H5" s="1">
        <v>3500</v>
      </c>
    </row>
    <row r="6" spans="1:8" x14ac:dyDescent="0.3">
      <c r="A6" s="9" t="s">
        <v>81</v>
      </c>
      <c r="B6" s="1" t="s">
        <v>21</v>
      </c>
      <c r="C6" s="1" t="s">
        <v>8</v>
      </c>
      <c r="D6" s="1" t="s">
        <v>22</v>
      </c>
      <c r="E6" s="1" t="s">
        <v>10</v>
      </c>
      <c r="F6" s="1">
        <v>30000</v>
      </c>
      <c r="G6" s="1">
        <v>6</v>
      </c>
      <c r="H6" s="1">
        <v>4200</v>
      </c>
    </row>
    <row r="7" spans="1:8" x14ac:dyDescent="0.3">
      <c r="A7" s="9" t="s">
        <v>82</v>
      </c>
      <c r="B7" s="1" t="s">
        <v>23</v>
      </c>
      <c r="C7" s="1" t="s">
        <v>12</v>
      </c>
      <c r="D7" s="1" t="s">
        <v>24</v>
      </c>
      <c r="E7" s="1" t="s">
        <v>10</v>
      </c>
      <c r="F7" s="1">
        <v>4000</v>
      </c>
      <c r="G7" s="1">
        <v>10</v>
      </c>
      <c r="H7" s="1">
        <v>600</v>
      </c>
    </row>
    <row r="8" spans="1:8" x14ac:dyDescent="0.3">
      <c r="A8" s="9" t="s">
        <v>83</v>
      </c>
      <c r="B8" s="1" t="s">
        <v>25</v>
      </c>
      <c r="C8" s="1" t="s">
        <v>15</v>
      </c>
      <c r="D8" s="1" t="s">
        <v>26</v>
      </c>
      <c r="E8" s="1" t="s">
        <v>17</v>
      </c>
      <c r="F8" s="1">
        <v>48000</v>
      </c>
      <c r="G8" s="1">
        <v>2</v>
      </c>
      <c r="H8" s="1">
        <v>5500</v>
      </c>
    </row>
    <row r="9" spans="1:8" x14ac:dyDescent="0.3">
      <c r="A9" s="9" t="s">
        <v>84</v>
      </c>
      <c r="B9" s="1" t="s">
        <v>27</v>
      </c>
      <c r="C9" s="1" t="s">
        <v>19</v>
      </c>
      <c r="D9" s="1" t="s">
        <v>28</v>
      </c>
      <c r="E9" s="1" t="s">
        <v>10</v>
      </c>
      <c r="F9" s="1">
        <v>18000</v>
      </c>
      <c r="G9" s="1">
        <v>4</v>
      </c>
      <c r="H9" s="1">
        <v>2500</v>
      </c>
    </row>
    <row r="10" spans="1:8" x14ac:dyDescent="0.3">
      <c r="A10" s="9" t="s">
        <v>85</v>
      </c>
      <c r="B10" s="1" t="s">
        <v>29</v>
      </c>
      <c r="C10" s="1" t="s">
        <v>8</v>
      </c>
      <c r="D10" s="1" t="s">
        <v>30</v>
      </c>
      <c r="E10" s="1" t="s">
        <v>10</v>
      </c>
      <c r="F10" s="1">
        <v>2000</v>
      </c>
      <c r="G10" s="1">
        <v>15</v>
      </c>
      <c r="H10" s="1">
        <v>300</v>
      </c>
    </row>
    <row r="11" spans="1:8" x14ac:dyDescent="0.3">
      <c r="A11" s="9" t="s">
        <v>86</v>
      </c>
      <c r="B11" s="1" t="s">
        <v>31</v>
      </c>
      <c r="C11" s="1" t="s">
        <v>12</v>
      </c>
      <c r="D11" s="1" t="s">
        <v>32</v>
      </c>
      <c r="E11" s="1" t="s">
        <v>17</v>
      </c>
      <c r="F11" s="1">
        <v>15000</v>
      </c>
      <c r="G11" s="1">
        <v>1</v>
      </c>
      <c r="H11" s="1">
        <v>1800</v>
      </c>
    </row>
    <row r="12" spans="1:8" x14ac:dyDescent="0.3">
      <c r="A12" s="9" t="s">
        <v>87</v>
      </c>
      <c r="B12" s="1" t="s">
        <v>33</v>
      </c>
      <c r="C12" s="1" t="s">
        <v>15</v>
      </c>
      <c r="D12" s="1" t="s">
        <v>9</v>
      </c>
      <c r="E12" s="1" t="s">
        <v>10</v>
      </c>
      <c r="F12" s="1">
        <v>56000</v>
      </c>
      <c r="G12" s="1">
        <v>6</v>
      </c>
      <c r="H12" s="1">
        <v>7200</v>
      </c>
    </row>
    <row r="13" spans="1:8" x14ac:dyDescent="0.3">
      <c r="A13" s="9" t="s">
        <v>88</v>
      </c>
      <c r="B13" s="1" t="s">
        <v>34</v>
      </c>
      <c r="C13" s="1" t="s">
        <v>19</v>
      </c>
      <c r="D13" s="1" t="s">
        <v>13</v>
      </c>
      <c r="E13" s="1" t="s">
        <v>10</v>
      </c>
      <c r="F13" s="1">
        <v>13000</v>
      </c>
      <c r="G13" s="1">
        <v>3</v>
      </c>
      <c r="H13" s="1">
        <v>1700</v>
      </c>
    </row>
    <row r="14" spans="1:8" x14ac:dyDescent="0.3">
      <c r="A14" s="9" t="s">
        <v>89</v>
      </c>
      <c r="B14" s="1" t="s">
        <v>35</v>
      </c>
      <c r="C14" s="1" t="s">
        <v>8</v>
      </c>
      <c r="D14" s="1" t="s">
        <v>20</v>
      </c>
      <c r="E14" s="1" t="s">
        <v>17</v>
      </c>
      <c r="F14" s="1">
        <v>24000</v>
      </c>
      <c r="G14" s="1">
        <v>2</v>
      </c>
      <c r="H14" s="1">
        <v>3600</v>
      </c>
    </row>
    <row r="15" spans="1:8" x14ac:dyDescent="0.3">
      <c r="A15" s="9" t="s">
        <v>90</v>
      </c>
      <c r="B15" s="1" t="s">
        <v>36</v>
      </c>
      <c r="C15" s="1" t="s">
        <v>12</v>
      </c>
      <c r="D15" s="1" t="s">
        <v>22</v>
      </c>
      <c r="E15" s="1" t="s">
        <v>10</v>
      </c>
      <c r="F15" s="1">
        <v>32000</v>
      </c>
      <c r="G15" s="1">
        <v>5</v>
      </c>
      <c r="H15" s="1">
        <v>4300</v>
      </c>
    </row>
    <row r="16" spans="1:8" x14ac:dyDescent="0.3">
      <c r="A16" s="9" t="s">
        <v>91</v>
      </c>
      <c r="B16" s="1" t="s">
        <v>37</v>
      </c>
      <c r="C16" s="1" t="s">
        <v>15</v>
      </c>
      <c r="D16" s="1" t="s">
        <v>16</v>
      </c>
      <c r="E16" s="1" t="s">
        <v>17</v>
      </c>
      <c r="F16" s="1">
        <v>9000</v>
      </c>
      <c r="G16" s="1">
        <v>5</v>
      </c>
      <c r="H16" s="1">
        <v>1100</v>
      </c>
    </row>
    <row r="17" spans="1:8" x14ac:dyDescent="0.3">
      <c r="A17" s="9" t="s">
        <v>92</v>
      </c>
      <c r="B17" s="1" t="s">
        <v>38</v>
      </c>
      <c r="C17" s="1" t="s">
        <v>19</v>
      </c>
      <c r="D17" s="1" t="s">
        <v>24</v>
      </c>
      <c r="E17" s="1" t="s">
        <v>10</v>
      </c>
      <c r="F17" s="1">
        <v>4500</v>
      </c>
      <c r="G17" s="1">
        <v>8</v>
      </c>
      <c r="H17" s="1">
        <v>700</v>
      </c>
    </row>
    <row r="18" spans="1:8" x14ac:dyDescent="0.3">
      <c r="A18" s="9" t="s">
        <v>93</v>
      </c>
      <c r="B18" s="1" t="s">
        <v>39</v>
      </c>
      <c r="C18" s="1" t="s">
        <v>8</v>
      </c>
      <c r="D18" s="1" t="s">
        <v>26</v>
      </c>
      <c r="E18" s="1" t="s">
        <v>17</v>
      </c>
      <c r="F18" s="1">
        <v>49000</v>
      </c>
      <c r="G18" s="1">
        <v>2</v>
      </c>
      <c r="H18" s="1">
        <v>5600</v>
      </c>
    </row>
    <row r="19" spans="1:8" x14ac:dyDescent="0.3">
      <c r="A19" s="9" t="s">
        <v>94</v>
      </c>
      <c r="B19" s="1" t="s">
        <v>40</v>
      </c>
      <c r="C19" s="1" t="s">
        <v>12</v>
      </c>
      <c r="D19" s="1" t="s">
        <v>28</v>
      </c>
      <c r="E19" s="1" t="s">
        <v>10</v>
      </c>
      <c r="F19" s="1">
        <v>19000</v>
      </c>
      <c r="G19" s="1">
        <v>4</v>
      </c>
      <c r="H19" s="1">
        <v>2600</v>
      </c>
    </row>
    <row r="20" spans="1:8" x14ac:dyDescent="0.3">
      <c r="A20" s="9" t="s">
        <v>95</v>
      </c>
      <c r="B20" s="1" t="s">
        <v>41</v>
      </c>
      <c r="C20" s="1" t="s">
        <v>15</v>
      </c>
      <c r="D20" s="1" t="s">
        <v>30</v>
      </c>
      <c r="E20" s="1" t="s">
        <v>10</v>
      </c>
      <c r="F20" s="1">
        <v>2500</v>
      </c>
      <c r="G20" s="1">
        <v>12</v>
      </c>
      <c r="H20" s="1">
        <v>400</v>
      </c>
    </row>
    <row r="21" spans="1:8" x14ac:dyDescent="0.3">
      <c r="A21" s="9" t="s">
        <v>96</v>
      </c>
      <c r="B21" s="1" t="s">
        <v>42</v>
      </c>
      <c r="C21" s="1" t="s">
        <v>19</v>
      </c>
      <c r="D21" s="1" t="s">
        <v>32</v>
      </c>
      <c r="E21" s="1" t="s">
        <v>17</v>
      </c>
      <c r="F21" s="1">
        <v>17000</v>
      </c>
      <c r="G21" s="1">
        <v>2</v>
      </c>
      <c r="H21" s="1">
        <v>2000</v>
      </c>
    </row>
    <row r="22" spans="1:8" x14ac:dyDescent="0.3">
      <c r="A22" s="9" t="s">
        <v>97</v>
      </c>
      <c r="B22" s="1" t="s">
        <v>43</v>
      </c>
      <c r="C22" s="1" t="s">
        <v>8</v>
      </c>
      <c r="D22" s="1" t="s">
        <v>9</v>
      </c>
      <c r="E22" s="1" t="s">
        <v>10</v>
      </c>
      <c r="F22" s="1">
        <v>58000</v>
      </c>
      <c r="G22" s="1">
        <v>7</v>
      </c>
      <c r="H22" s="1">
        <v>7500</v>
      </c>
    </row>
    <row r="23" spans="1:8" x14ac:dyDescent="0.3">
      <c r="A23" s="9" t="s">
        <v>98</v>
      </c>
      <c r="B23" s="1" t="s">
        <v>44</v>
      </c>
      <c r="C23" s="1" t="s">
        <v>12</v>
      </c>
      <c r="D23" s="1" t="s">
        <v>13</v>
      </c>
      <c r="E23" s="1" t="s">
        <v>10</v>
      </c>
      <c r="F23" s="1">
        <v>14000</v>
      </c>
      <c r="G23" s="1">
        <v>3</v>
      </c>
      <c r="H23" s="1">
        <v>1900</v>
      </c>
    </row>
    <row r="24" spans="1:8" x14ac:dyDescent="0.3">
      <c r="A24" s="9" t="s">
        <v>99</v>
      </c>
      <c r="B24" s="1" t="s">
        <v>45</v>
      </c>
      <c r="C24" s="1" t="s">
        <v>15</v>
      </c>
      <c r="D24" s="1" t="s">
        <v>16</v>
      </c>
      <c r="E24" s="1" t="s">
        <v>17</v>
      </c>
      <c r="F24" s="1">
        <v>9500</v>
      </c>
      <c r="G24" s="1">
        <v>6</v>
      </c>
      <c r="H24" s="1">
        <v>1200</v>
      </c>
    </row>
    <row r="25" spans="1:8" x14ac:dyDescent="0.3">
      <c r="A25" s="9" t="s">
        <v>100</v>
      </c>
      <c r="B25" s="1" t="s">
        <v>46</v>
      </c>
      <c r="C25" s="1" t="s">
        <v>19</v>
      </c>
      <c r="D25" s="1" t="s">
        <v>20</v>
      </c>
      <c r="E25" s="1" t="s">
        <v>17</v>
      </c>
      <c r="F25" s="1">
        <v>26000</v>
      </c>
      <c r="G25" s="1">
        <v>2</v>
      </c>
      <c r="H25" s="1">
        <v>3700</v>
      </c>
    </row>
    <row r="26" spans="1:8" x14ac:dyDescent="0.3">
      <c r="A26" s="9" t="s">
        <v>101</v>
      </c>
      <c r="B26" s="1" t="s">
        <v>47</v>
      </c>
      <c r="C26" s="1" t="s">
        <v>8</v>
      </c>
      <c r="D26" s="1" t="s">
        <v>22</v>
      </c>
      <c r="E26" s="1" t="s">
        <v>10</v>
      </c>
      <c r="F26" s="1">
        <v>33000</v>
      </c>
      <c r="G26" s="1">
        <v>5</v>
      </c>
      <c r="H26" s="1">
        <v>4500</v>
      </c>
    </row>
    <row r="27" spans="1:8" x14ac:dyDescent="0.3">
      <c r="A27" s="9" t="s">
        <v>102</v>
      </c>
      <c r="B27" s="1" t="s">
        <v>48</v>
      </c>
      <c r="C27" s="1" t="s">
        <v>12</v>
      </c>
      <c r="D27" s="1" t="s">
        <v>24</v>
      </c>
      <c r="E27" s="1" t="s">
        <v>10</v>
      </c>
      <c r="F27" s="1">
        <v>4800</v>
      </c>
      <c r="G27" s="1">
        <v>9</v>
      </c>
      <c r="H27" s="1">
        <v>800</v>
      </c>
    </row>
    <row r="28" spans="1:8" x14ac:dyDescent="0.3">
      <c r="A28" s="9" t="s">
        <v>103</v>
      </c>
      <c r="B28" s="1" t="s">
        <v>49</v>
      </c>
      <c r="C28" s="1" t="s">
        <v>15</v>
      </c>
      <c r="D28" s="1" t="s">
        <v>26</v>
      </c>
      <c r="E28" s="1" t="s">
        <v>17</v>
      </c>
      <c r="F28" s="1">
        <v>50000</v>
      </c>
      <c r="G28" s="1">
        <v>3</v>
      </c>
      <c r="H28" s="1">
        <v>6000</v>
      </c>
    </row>
    <row r="29" spans="1:8" x14ac:dyDescent="0.3">
      <c r="A29" s="9" t="s">
        <v>104</v>
      </c>
      <c r="B29" s="1" t="s">
        <v>50</v>
      </c>
      <c r="C29" s="1" t="s">
        <v>19</v>
      </c>
      <c r="D29" s="1" t="s">
        <v>28</v>
      </c>
      <c r="E29" s="1" t="s">
        <v>10</v>
      </c>
      <c r="F29" s="1">
        <v>20000</v>
      </c>
      <c r="G29" s="1">
        <v>4</v>
      </c>
      <c r="H29" s="1">
        <v>2800</v>
      </c>
    </row>
    <row r="30" spans="1:8" x14ac:dyDescent="0.3">
      <c r="A30" s="9" t="s">
        <v>105</v>
      </c>
      <c r="B30" s="1" t="s">
        <v>51</v>
      </c>
      <c r="C30" s="1" t="s">
        <v>8</v>
      </c>
      <c r="D30" s="1" t="s">
        <v>30</v>
      </c>
      <c r="E30" s="1" t="s">
        <v>10</v>
      </c>
      <c r="F30" s="1">
        <v>3000</v>
      </c>
      <c r="G30" s="1">
        <v>13</v>
      </c>
      <c r="H30" s="1">
        <v>500</v>
      </c>
    </row>
    <row r="31" spans="1:8" x14ac:dyDescent="0.3">
      <c r="A31" s="9" t="s">
        <v>106</v>
      </c>
      <c r="B31" s="1" t="s">
        <v>52</v>
      </c>
      <c r="C31" s="1" t="s">
        <v>12</v>
      </c>
      <c r="D31" s="1" t="s">
        <v>32</v>
      </c>
      <c r="E31" s="1" t="s">
        <v>17</v>
      </c>
      <c r="F31" s="1">
        <v>18000</v>
      </c>
      <c r="G31" s="1">
        <v>2</v>
      </c>
      <c r="H31" s="1">
        <v>2100</v>
      </c>
    </row>
    <row r="32" spans="1:8" x14ac:dyDescent="0.3">
      <c r="A32" s="9" t="s">
        <v>107</v>
      </c>
      <c r="B32" s="1" t="s">
        <v>53</v>
      </c>
      <c r="C32" s="1" t="s">
        <v>15</v>
      </c>
      <c r="D32" s="1" t="s">
        <v>9</v>
      </c>
      <c r="E32" s="1" t="s">
        <v>10</v>
      </c>
      <c r="F32" s="1">
        <v>60000</v>
      </c>
      <c r="G32" s="1">
        <v>8</v>
      </c>
      <c r="H32" s="1">
        <v>8000</v>
      </c>
    </row>
    <row r="33" spans="1:8" x14ac:dyDescent="0.3">
      <c r="A33" s="9" t="s">
        <v>108</v>
      </c>
      <c r="B33" s="1" t="s">
        <v>54</v>
      </c>
      <c r="C33" s="1" t="s">
        <v>19</v>
      </c>
      <c r="D33" s="1" t="s">
        <v>13</v>
      </c>
      <c r="E33" s="1" t="s">
        <v>10</v>
      </c>
      <c r="F33" s="1">
        <v>15000</v>
      </c>
      <c r="G33" s="1">
        <v>3</v>
      </c>
      <c r="H33" s="1">
        <v>2100</v>
      </c>
    </row>
    <row r="34" spans="1:8" x14ac:dyDescent="0.3">
      <c r="A34" s="9" t="s">
        <v>109</v>
      </c>
      <c r="B34" s="1" t="s">
        <v>55</v>
      </c>
      <c r="C34" s="1" t="s">
        <v>8</v>
      </c>
      <c r="D34" s="1" t="s">
        <v>20</v>
      </c>
      <c r="E34" s="1" t="s">
        <v>17</v>
      </c>
      <c r="F34" s="1">
        <v>27000</v>
      </c>
      <c r="G34" s="1">
        <v>3</v>
      </c>
      <c r="H34" s="1">
        <v>3800</v>
      </c>
    </row>
    <row r="35" spans="1:8" x14ac:dyDescent="0.3">
      <c r="A35" s="9" t="s">
        <v>110</v>
      </c>
      <c r="B35" s="1" t="s">
        <v>56</v>
      </c>
      <c r="C35" s="1" t="s">
        <v>12</v>
      </c>
      <c r="D35" s="1" t="s">
        <v>22</v>
      </c>
      <c r="E35" s="1" t="s">
        <v>10</v>
      </c>
      <c r="F35" s="1">
        <v>34000</v>
      </c>
      <c r="G35" s="1">
        <v>6</v>
      </c>
      <c r="H35" s="1">
        <v>4600</v>
      </c>
    </row>
    <row r="36" spans="1:8" x14ac:dyDescent="0.3">
      <c r="A36" s="9" t="s">
        <v>111</v>
      </c>
      <c r="B36" s="1" t="s">
        <v>57</v>
      </c>
      <c r="C36" s="1" t="s">
        <v>15</v>
      </c>
      <c r="D36" s="1" t="s">
        <v>16</v>
      </c>
      <c r="E36" s="1" t="s">
        <v>17</v>
      </c>
      <c r="F36" s="1">
        <v>10000</v>
      </c>
      <c r="G36" s="1">
        <v>5</v>
      </c>
      <c r="H36" s="1">
        <v>1300</v>
      </c>
    </row>
    <row r="37" spans="1:8" x14ac:dyDescent="0.3">
      <c r="A37" s="9" t="s">
        <v>112</v>
      </c>
      <c r="B37" s="1" t="s">
        <v>58</v>
      </c>
      <c r="C37" s="1" t="s">
        <v>19</v>
      </c>
      <c r="D37" s="1" t="s">
        <v>24</v>
      </c>
      <c r="E37" s="1" t="s">
        <v>10</v>
      </c>
      <c r="F37" s="1">
        <v>5000</v>
      </c>
      <c r="G37" s="1">
        <v>11</v>
      </c>
      <c r="H37" s="1">
        <v>900</v>
      </c>
    </row>
    <row r="38" spans="1:8" x14ac:dyDescent="0.3">
      <c r="A38" s="9" t="s">
        <v>113</v>
      </c>
      <c r="B38" s="1" t="s">
        <v>59</v>
      </c>
      <c r="C38" s="1" t="s">
        <v>8</v>
      </c>
      <c r="D38" s="1" t="s">
        <v>26</v>
      </c>
      <c r="E38" s="1" t="s">
        <v>17</v>
      </c>
      <c r="F38" s="1">
        <v>52000</v>
      </c>
      <c r="G38" s="1">
        <v>2</v>
      </c>
      <c r="H38" s="1">
        <v>6500</v>
      </c>
    </row>
    <row r="39" spans="1:8" x14ac:dyDescent="0.3">
      <c r="A39" s="9" t="s">
        <v>114</v>
      </c>
      <c r="B39" s="1" t="s">
        <v>60</v>
      </c>
      <c r="C39" s="1" t="s">
        <v>12</v>
      </c>
      <c r="D39" s="1" t="s">
        <v>28</v>
      </c>
      <c r="E39" s="1" t="s">
        <v>10</v>
      </c>
      <c r="F39" s="1">
        <v>21000</v>
      </c>
      <c r="G39" s="1">
        <v>4</v>
      </c>
      <c r="H39" s="1">
        <v>3000</v>
      </c>
    </row>
    <row r="40" spans="1:8" x14ac:dyDescent="0.3">
      <c r="A40" s="9" t="s">
        <v>115</v>
      </c>
      <c r="B40" s="1" t="s">
        <v>61</v>
      </c>
      <c r="C40" s="1" t="s">
        <v>15</v>
      </c>
      <c r="D40" s="1" t="s">
        <v>30</v>
      </c>
      <c r="E40" s="1" t="s">
        <v>10</v>
      </c>
      <c r="F40" s="1">
        <v>3500</v>
      </c>
      <c r="G40" s="1">
        <v>14</v>
      </c>
      <c r="H40" s="1">
        <v>600</v>
      </c>
    </row>
    <row r="41" spans="1:8" x14ac:dyDescent="0.3">
      <c r="A41" s="9" t="s">
        <v>116</v>
      </c>
      <c r="B41" s="1" t="s">
        <v>62</v>
      </c>
      <c r="C41" s="1" t="s">
        <v>19</v>
      </c>
      <c r="D41" s="1" t="s">
        <v>32</v>
      </c>
      <c r="E41" s="1" t="s">
        <v>17</v>
      </c>
      <c r="F41" s="1">
        <v>19000</v>
      </c>
      <c r="G41" s="1">
        <v>3</v>
      </c>
      <c r="H41" s="1">
        <v>2300</v>
      </c>
    </row>
  </sheetData>
  <pageMargins left="0.75" right="0.75" top="1" bottom="1" header="0.5" footer="0.5"/>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65F8A-EBE2-4572-A79C-0751FD4771FD}">
  <sheetPr codeName="Sheet2"/>
  <dimension ref="A1:AO50"/>
  <sheetViews>
    <sheetView workbookViewId="0">
      <selection activeCell="J43" sqref="J43"/>
    </sheetView>
  </sheetViews>
  <sheetFormatPr defaultRowHeight="14.4" x14ac:dyDescent="0.3"/>
  <cols>
    <col min="1" max="1" width="10" bestFit="1" customWidth="1"/>
    <col min="2" max="3" width="10.5546875" bestFit="1" customWidth="1"/>
    <col min="4" max="5" width="10.44140625" bestFit="1" customWidth="1"/>
    <col min="6" max="7" width="10.5546875" bestFit="1" customWidth="1"/>
    <col min="8" max="8" width="10.44140625" bestFit="1" customWidth="1"/>
    <col min="9" max="9" width="10.5546875" bestFit="1" customWidth="1"/>
    <col min="10" max="10" width="23" customWidth="1"/>
    <col min="11" max="11" width="10.44140625" bestFit="1" customWidth="1"/>
    <col min="12" max="13" width="10.5546875" bestFit="1" customWidth="1"/>
    <col min="14" max="14" width="12.44140625" bestFit="1" customWidth="1"/>
    <col min="15" max="15" width="10.5546875" bestFit="1" customWidth="1"/>
    <col min="16" max="16" width="10.44140625" bestFit="1" customWidth="1"/>
    <col min="17" max="17" width="14.5546875" bestFit="1" customWidth="1"/>
    <col min="18" max="18" width="10.44140625" bestFit="1" customWidth="1"/>
    <col min="19" max="20" width="10.5546875" bestFit="1" customWidth="1"/>
    <col min="21" max="21" width="10.44140625" bestFit="1" customWidth="1"/>
    <col min="22" max="23" width="10.5546875" bestFit="1" customWidth="1"/>
    <col min="24" max="25" width="10.44140625" bestFit="1" customWidth="1"/>
    <col min="26" max="27" width="10.5546875" bestFit="1" customWidth="1"/>
    <col min="28" max="28" width="10.44140625" bestFit="1" customWidth="1"/>
    <col min="29" max="30" width="10.5546875" bestFit="1" customWidth="1"/>
    <col min="31" max="31" width="10.44140625" bestFit="1" customWidth="1"/>
    <col min="32" max="33" width="10.5546875" bestFit="1" customWidth="1"/>
    <col min="34" max="34" width="10.44140625" bestFit="1" customWidth="1"/>
    <col min="35" max="35" width="10.5546875" bestFit="1" customWidth="1"/>
    <col min="36" max="36" width="10.44140625" bestFit="1" customWidth="1"/>
    <col min="37" max="37" width="10.5546875" bestFit="1" customWidth="1"/>
    <col min="38" max="38" width="10.44140625" bestFit="1" customWidth="1"/>
    <col min="39" max="40" width="10.5546875" bestFit="1" customWidth="1"/>
    <col min="41" max="41" width="10.44140625" bestFit="1" customWidth="1"/>
  </cols>
  <sheetData>
    <row r="1" spans="1:19" x14ac:dyDescent="0.3">
      <c r="A1" s="2" t="s">
        <v>76</v>
      </c>
      <c r="B1" s="2" t="s">
        <v>0</v>
      </c>
      <c r="C1" s="2" t="s">
        <v>1</v>
      </c>
      <c r="D1" s="2" t="s">
        <v>2</v>
      </c>
      <c r="E1" s="2" t="s">
        <v>3</v>
      </c>
      <c r="F1" s="2" t="s">
        <v>4</v>
      </c>
      <c r="G1" s="2" t="s">
        <v>5</v>
      </c>
      <c r="H1" s="2" t="s">
        <v>6</v>
      </c>
      <c r="I1" s="3"/>
      <c r="J1" s="3"/>
      <c r="K1" s="3"/>
      <c r="L1" s="3"/>
    </row>
    <row r="2" spans="1:19" x14ac:dyDescent="0.3">
      <c r="A2" s="9" t="s">
        <v>77</v>
      </c>
      <c r="B2" s="1" t="s">
        <v>7</v>
      </c>
      <c r="C2" s="1" t="s">
        <v>8</v>
      </c>
      <c r="D2" s="1" t="s">
        <v>9</v>
      </c>
      <c r="E2" s="1" t="s">
        <v>10</v>
      </c>
      <c r="F2" s="1">
        <v>54000</v>
      </c>
      <c r="G2" s="1">
        <v>5</v>
      </c>
      <c r="H2" s="1">
        <v>6500</v>
      </c>
    </row>
    <row r="3" spans="1:19" x14ac:dyDescent="0.3">
      <c r="A3" s="9" t="s">
        <v>78</v>
      </c>
      <c r="B3" s="1" t="s">
        <v>11</v>
      </c>
      <c r="C3" s="1" t="s">
        <v>12</v>
      </c>
      <c r="D3" s="1" t="s">
        <v>13</v>
      </c>
      <c r="E3" s="1" t="s">
        <v>10</v>
      </c>
      <c r="F3" s="1">
        <v>12000</v>
      </c>
      <c r="G3" s="1">
        <v>2</v>
      </c>
      <c r="H3" s="1">
        <v>1500</v>
      </c>
      <c r="S3" s="1" t="s">
        <v>9</v>
      </c>
    </row>
    <row r="4" spans="1:19" ht="15.6" x14ac:dyDescent="0.3">
      <c r="A4" s="9" t="s">
        <v>79</v>
      </c>
      <c r="B4" s="1" t="s">
        <v>14</v>
      </c>
      <c r="C4" s="1" t="s">
        <v>15</v>
      </c>
      <c r="D4" s="1" t="s">
        <v>16</v>
      </c>
      <c r="E4" s="1" t="s">
        <v>17</v>
      </c>
      <c r="F4" s="1">
        <v>8000</v>
      </c>
      <c r="G4" s="1">
        <v>4</v>
      </c>
      <c r="H4" s="1">
        <v>900</v>
      </c>
      <c r="J4" s="21" t="s">
        <v>73</v>
      </c>
      <c r="K4" s="22"/>
      <c r="M4" s="18" t="s">
        <v>74</v>
      </c>
      <c r="N4" s="19"/>
      <c r="P4" s="18" t="s">
        <v>118</v>
      </c>
      <c r="Q4" s="19"/>
      <c r="S4" s="1" t="s">
        <v>13</v>
      </c>
    </row>
    <row r="5" spans="1:19" x14ac:dyDescent="0.3">
      <c r="A5" s="9" t="s">
        <v>80</v>
      </c>
      <c r="B5" s="1" t="s">
        <v>18</v>
      </c>
      <c r="C5" s="1" t="s">
        <v>19</v>
      </c>
      <c r="D5" s="1" t="s">
        <v>20</v>
      </c>
      <c r="E5" s="1" t="s">
        <v>17</v>
      </c>
      <c r="F5" s="1">
        <v>22000</v>
      </c>
      <c r="G5" s="1">
        <v>3</v>
      </c>
      <c r="H5" s="1">
        <v>3500</v>
      </c>
      <c r="J5" s="7"/>
      <c r="K5" s="8"/>
      <c r="M5" s="7"/>
      <c r="N5" s="8"/>
      <c r="P5" s="7"/>
      <c r="Q5" s="8"/>
      <c r="S5" s="1" t="s">
        <v>16</v>
      </c>
    </row>
    <row r="6" spans="1:19" x14ac:dyDescent="0.3">
      <c r="A6" s="9" t="s">
        <v>81</v>
      </c>
      <c r="B6" s="1" t="s">
        <v>21</v>
      </c>
      <c r="C6" s="1" t="s">
        <v>8</v>
      </c>
      <c r="D6" s="1" t="s">
        <v>22</v>
      </c>
      <c r="E6" s="1" t="s">
        <v>10</v>
      </c>
      <c r="F6" s="1">
        <v>30000</v>
      </c>
      <c r="G6" s="1">
        <v>6</v>
      </c>
      <c r="H6" s="1">
        <v>4200</v>
      </c>
      <c r="J6" s="16" t="s">
        <v>68</v>
      </c>
      <c r="K6" s="17"/>
      <c r="M6" s="16" t="s">
        <v>68</v>
      </c>
      <c r="N6" s="17"/>
      <c r="P6" s="16" t="s">
        <v>68</v>
      </c>
      <c r="Q6" s="17"/>
      <c r="S6" s="1" t="s">
        <v>20</v>
      </c>
    </row>
    <row r="7" spans="1:19" ht="17.399999999999999" x14ac:dyDescent="0.3">
      <c r="A7" s="9" t="s">
        <v>82</v>
      </c>
      <c r="B7" s="1" t="s">
        <v>23</v>
      </c>
      <c r="C7" s="1" t="s">
        <v>12</v>
      </c>
      <c r="D7" s="1" t="s">
        <v>24</v>
      </c>
      <c r="E7" s="1" t="s">
        <v>10</v>
      </c>
      <c r="F7" s="1">
        <v>4000</v>
      </c>
      <c r="G7" s="1">
        <v>10</v>
      </c>
      <c r="H7" s="1">
        <v>600</v>
      </c>
      <c r="J7" s="2" t="s">
        <v>63</v>
      </c>
      <c r="K7" s="4">
        <f>SUM(F2:F41)</f>
        <v>921800</v>
      </c>
      <c r="M7" s="2" t="s">
        <v>2</v>
      </c>
      <c r="N7" s="2" t="s">
        <v>75</v>
      </c>
      <c r="P7" s="2" t="s">
        <v>2</v>
      </c>
      <c r="Q7" s="2" t="s">
        <v>75</v>
      </c>
      <c r="S7" s="1" t="s">
        <v>22</v>
      </c>
    </row>
    <row r="8" spans="1:19" ht="17.399999999999999" x14ac:dyDescent="0.3">
      <c r="A8" s="9" t="s">
        <v>83</v>
      </c>
      <c r="B8" s="1" t="s">
        <v>25</v>
      </c>
      <c r="C8" s="1" t="s">
        <v>15</v>
      </c>
      <c r="D8" s="1" t="s">
        <v>26</v>
      </c>
      <c r="E8" s="1" t="s">
        <v>17</v>
      </c>
      <c r="F8" s="1">
        <v>48000</v>
      </c>
      <c r="G8" s="1">
        <v>2</v>
      </c>
      <c r="H8" s="1">
        <v>5500</v>
      </c>
      <c r="J8" s="7"/>
      <c r="K8" s="8"/>
      <c r="M8" s="2" t="s">
        <v>24</v>
      </c>
      <c r="N8" s="4">
        <f>VLOOKUP(M8,D1:H41,3,0)</f>
        <v>4000</v>
      </c>
      <c r="P8" s="2" t="s">
        <v>24</v>
      </c>
      <c r="Q8" s="4">
        <f>HLOOKUP(P8,A46:AO50,3,0)</f>
        <v>4000</v>
      </c>
      <c r="S8" s="1" t="s">
        <v>24</v>
      </c>
    </row>
    <row r="9" spans="1:19" x14ac:dyDescent="0.3">
      <c r="A9" s="9" t="s">
        <v>84</v>
      </c>
      <c r="B9" s="1" t="s">
        <v>27</v>
      </c>
      <c r="C9" s="1" t="s">
        <v>19</v>
      </c>
      <c r="D9" s="1" t="s">
        <v>28</v>
      </c>
      <c r="E9" s="1" t="s">
        <v>10</v>
      </c>
      <c r="F9" s="1">
        <v>18000</v>
      </c>
      <c r="G9" s="1">
        <v>4</v>
      </c>
      <c r="H9" s="1">
        <v>2500</v>
      </c>
      <c r="J9" s="7"/>
      <c r="K9" s="8"/>
      <c r="M9" s="7"/>
      <c r="N9" s="8"/>
      <c r="P9" s="7"/>
      <c r="Q9" s="8"/>
      <c r="S9" s="1" t="s">
        <v>26</v>
      </c>
    </row>
    <row r="10" spans="1:19" x14ac:dyDescent="0.3">
      <c r="A10" s="9" t="s">
        <v>85</v>
      </c>
      <c r="B10" s="1" t="s">
        <v>29</v>
      </c>
      <c r="C10" s="1" t="s">
        <v>8</v>
      </c>
      <c r="D10" s="1" t="s">
        <v>30</v>
      </c>
      <c r="E10" s="1" t="s">
        <v>10</v>
      </c>
      <c r="F10" s="1">
        <v>2000</v>
      </c>
      <c r="G10" s="1">
        <v>15</v>
      </c>
      <c r="H10" s="1">
        <v>300</v>
      </c>
      <c r="J10" s="16" t="s">
        <v>69</v>
      </c>
      <c r="K10" s="17"/>
      <c r="M10" s="16" t="s">
        <v>69</v>
      </c>
      <c r="N10" s="17"/>
      <c r="P10" s="16" t="s">
        <v>69</v>
      </c>
      <c r="Q10" s="17"/>
      <c r="S10" s="1" t="s">
        <v>28</v>
      </c>
    </row>
    <row r="11" spans="1:19" ht="17.399999999999999" x14ac:dyDescent="0.3">
      <c r="A11" s="9" t="s">
        <v>86</v>
      </c>
      <c r="B11" s="1" t="s">
        <v>31</v>
      </c>
      <c r="C11" s="1" t="s">
        <v>12</v>
      </c>
      <c r="D11" s="1" t="s">
        <v>32</v>
      </c>
      <c r="E11" s="1" t="s">
        <v>17</v>
      </c>
      <c r="F11" s="1">
        <v>15000</v>
      </c>
      <c r="G11" s="1">
        <v>1</v>
      </c>
      <c r="H11" s="1">
        <v>1800</v>
      </c>
      <c r="J11" s="2" t="s">
        <v>64</v>
      </c>
      <c r="K11" s="4">
        <f>MAX(H2:H41)</f>
        <v>8000</v>
      </c>
      <c r="M11" s="2" t="s">
        <v>2</v>
      </c>
      <c r="N11" s="2" t="s">
        <v>3</v>
      </c>
      <c r="P11" s="2" t="s">
        <v>2</v>
      </c>
      <c r="Q11" s="2" t="s">
        <v>75</v>
      </c>
      <c r="S11" s="1" t="s">
        <v>30</v>
      </c>
    </row>
    <row r="12" spans="1:19" ht="17.399999999999999" x14ac:dyDescent="0.3">
      <c r="A12" s="9" t="s">
        <v>87</v>
      </c>
      <c r="B12" s="1" t="s">
        <v>33</v>
      </c>
      <c r="C12" s="1" t="s">
        <v>15</v>
      </c>
      <c r="D12" s="1" t="s">
        <v>9</v>
      </c>
      <c r="E12" s="1" t="s">
        <v>10</v>
      </c>
      <c r="F12" s="1">
        <v>56000</v>
      </c>
      <c r="G12" s="1">
        <v>6</v>
      </c>
      <c r="H12" s="1">
        <v>7200</v>
      </c>
      <c r="J12" s="7"/>
      <c r="K12" s="8"/>
      <c r="M12" s="2" t="s">
        <v>32</v>
      </c>
      <c r="N12" s="6" t="str">
        <f>VLOOKUP(M12,D2:H41,2,0)</f>
        <v>Furniture</v>
      </c>
      <c r="P12" s="2" t="s">
        <v>20</v>
      </c>
      <c r="Q12" s="4">
        <f>HLOOKUP(P12,A46:AO50,3,0)</f>
        <v>22000</v>
      </c>
      <c r="S12" s="1" t="s">
        <v>32</v>
      </c>
    </row>
    <row r="13" spans="1:19" x14ac:dyDescent="0.3">
      <c r="A13" s="9" t="s">
        <v>88</v>
      </c>
      <c r="B13" s="1" t="s">
        <v>34</v>
      </c>
      <c r="C13" s="1" t="s">
        <v>19</v>
      </c>
      <c r="D13" s="1" t="s">
        <v>13</v>
      </c>
      <c r="E13" s="1" t="s">
        <v>10</v>
      </c>
      <c r="F13" s="1">
        <v>13000</v>
      </c>
      <c r="G13" s="1">
        <v>3</v>
      </c>
      <c r="H13" s="1">
        <v>1700</v>
      </c>
      <c r="J13" s="7"/>
      <c r="K13" s="8"/>
      <c r="M13" s="7"/>
      <c r="N13" s="8"/>
      <c r="P13" s="7"/>
      <c r="Q13" s="8"/>
    </row>
    <row r="14" spans="1:19" x14ac:dyDescent="0.3">
      <c r="A14" s="9" t="s">
        <v>89</v>
      </c>
      <c r="B14" s="1" t="s">
        <v>35</v>
      </c>
      <c r="C14" s="1" t="s">
        <v>8</v>
      </c>
      <c r="D14" s="1" t="s">
        <v>20</v>
      </c>
      <c r="E14" s="1" t="s">
        <v>17</v>
      </c>
      <c r="F14" s="1">
        <v>24000</v>
      </c>
      <c r="G14" s="1">
        <v>2</v>
      </c>
      <c r="H14" s="1">
        <v>3600</v>
      </c>
      <c r="J14" s="16" t="s">
        <v>70</v>
      </c>
      <c r="K14" s="17"/>
      <c r="M14" s="16" t="s">
        <v>70</v>
      </c>
      <c r="N14" s="17"/>
      <c r="P14" s="16" t="s">
        <v>70</v>
      </c>
      <c r="Q14" s="17"/>
    </row>
    <row r="15" spans="1:19" ht="17.399999999999999" x14ac:dyDescent="0.3">
      <c r="A15" s="9" t="s">
        <v>90</v>
      </c>
      <c r="B15" s="1" t="s">
        <v>36</v>
      </c>
      <c r="C15" s="1" t="s">
        <v>12</v>
      </c>
      <c r="D15" s="1" t="s">
        <v>22</v>
      </c>
      <c r="E15" s="1" t="s">
        <v>10</v>
      </c>
      <c r="F15" s="1">
        <v>32000</v>
      </c>
      <c r="G15" s="1">
        <v>5</v>
      </c>
      <c r="H15" s="1">
        <v>4300</v>
      </c>
      <c r="J15" s="2" t="s">
        <v>65</v>
      </c>
      <c r="K15" s="4">
        <f>SUMIF(C2:C41,"North",G2:G41)</f>
        <v>60</v>
      </c>
      <c r="M15" s="2" t="s">
        <v>117</v>
      </c>
      <c r="N15" s="2" t="s">
        <v>6</v>
      </c>
      <c r="P15" s="2" t="s">
        <v>117</v>
      </c>
      <c r="Q15" s="2" t="s">
        <v>6</v>
      </c>
    </row>
    <row r="16" spans="1:19" ht="17.399999999999999" x14ac:dyDescent="0.3">
      <c r="A16" s="9" t="s">
        <v>91</v>
      </c>
      <c r="B16" s="1" t="s">
        <v>37</v>
      </c>
      <c r="C16" s="1" t="s">
        <v>15</v>
      </c>
      <c r="D16" s="1" t="s">
        <v>16</v>
      </c>
      <c r="E16" s="1" t="s">
        <v>17</v>
      </c>
      <c r="F16" s="1">
        <v>9000</v>
      </c>
      <c r="G16" s="1">
        <v>5</v>
      </c>
      <c r="H16" s="1">
        <v>1100</v>
      </c>
      <c r="J16" s="7"/>
      <c r="K16" s="8"/>
      <c r="M16" s="2" t="s">
        <v>77</v>
      </c>
      <c r="N16" s="4">
        <f>VLOOKUP(M16,A1:H41,8,0)</f>
        <v>6500</v>
      </c>
      <c r="P16" s="2" t="s">
        <v>77</v>
      </c>
      <c r="Q16" s="4">
        <f>MAX(A48:AO48)</f>
        <v>60000</v>
      </c>
    </row>
    <row r="17" spans="1:17" x14ac:dyDescent="0.3">
      <c r="A17" s="9" t="s">
        <v>92</v>
      </c>
      <c r="B17" s="1" t="s">
        <v>38</v>
      </c>
      <c r="C17" s="1" t="s">
        <v>19</v>
      </c>
      <c r="D17" s="1" t="s">
        <v>24</v>
      </c>
      <c r="E17" s="1" t="s">
        <v>10</v>
      </c>
      <c r="F17" s="1">
        <v>4500</v>
      </c>
      <c r="G17" s="1">
        <v>8</v>
      </c>
      <c r="H17" s="1">
        <v>700</v>
      </c>
      <c r="J17" s="16" t="s">
        <v>71</v>
      </c>
      <c r="K17" s="17"/>
      <c r="M17" s="7"/>
      <c r="N17" s="8"/>
    </row>
    <row r="18" spans="1:17" ht="17.399999999999999" x14ac:dyDescent="0.3">
      <c r="A18" s="9" t="s">
        <v>93</v>
      </c>
      <c r="B18" s="1" t="s">
        <v>39</v>
      </c>
      <c r="C18" s="1" t="s">
        <v>8</v>
      </c>
      <c r="D18" s="1" t="s">
        <v>26</v>
      </c>
      <c r="E18" s="1" t="s">
        <v>17</v>
      </c>
      <c r="F18" s="1">
        <v>49000</v>
      </c>
      <c r="G18" s="1">
        <v>2</v>
      </c>
      <c r="H18" s="1">
        <v>5600</v>
      </c>
      <c r="J18" s="2" t="s">
        <v>66</v>
      </c>
      <c r="K18" s="5">
        <f>AVERAGE(G2:G41)</f>
        <v>5.35</v>
      </c>
      <c r="M18" s="16" t="s">
        <v>71</v>
      </c>
      <c r="N18" s="17"/>
      <c r="P18" s="18" t="s">
        <v>119</v>
      </c>
      <c r="Q18" s="19"/>
    </row>
    <row r="19" spans="1:17" x14ac:dyDescent="0.3">
      <c r="A19" s="9" t="s">
        <v>94</v>
      </c>
      <c r="B19" s="1" t="s">
        <v>40</v>
      </c>
      <c r="C19" s="1" t="s">
        <v>12</v>
      </c>
      <c r="D19" s="1" t="s">
        <v>28</v>
      </c>
      <c r="E19" s="1" t="s">
        <v>10</v>
      </c>
      <c r="F19" s="1">
        <v>19000</v>
      </c>
      <c r="G19" s="1">
        <v>4</v>
      </c>
      <c r="H19" s="1">
        <v>2600</v>
      </c>
      <c r="J19" s="7"/>
      <c r="K19" s="8"/>
      <c r="M19" s="2" t="s">
        <v>117</v>
      </c>
      <c r="N19" s="2" t="s">
        <v>1</v>
      </c>
      <c r="P19" s="7"/>
      <c r="Q19" s="8"/>
    </row>
    <row r="20" spans="1:17" ht="17.399999999999999" x14ac:dyDescent="0.3">
      <c r="A20" s="9" t="s">
        <v>95</v>
      </c>
      <c r="B20" s="1" t="s">
        <v>41</v>
      </c>
      <c r="C20" s="1" t="s">
        <v>15</v>
      </c>
      <c r="D20" s="1" t="s">
        <v>30</v>
      </c>
      <c r="E20" s="1" t="s">
        <v>10</v>
      </c>
      <c r="F20" s="1">
        <v>2500</v>
      </c>
      <c r="G20" s="1">
        <v>12</v>
      </c>
      <c r="H20" s="1">
        <v>400</v>
      </c>
      <c r="J20" s="16" t="s">
        <v>72</v>
      </c>
      <c r="K20" s="17"/>
      <c r="M20" s="2" t="s">
        <v>79</v>
      </c>
      <c r="N20" s="4" t="str">
        <f>VLOOKUP(M20,A1:H41,3,0)</f>
        <v>East</v>
      </c>
      <c r="P20" s="16" t="s">
        <v>68</v>
      </c>
      <c r="Q20" s="17"/>
    </row>
    <row r="21" spans="1:17" ht="17.399999999999999" x14ac:dyDescent="0.3">
      <c r="A21" s="9" t="s">
        <v>96</v>
      </c>
      <c r="B21" s="1" t="s">
        <v>42</v>
      </c>
      <c r="C21" s="1" t="s">
        <v>19</v>
      </c>
      <c r="D21" s="1" t="s">
        <v>32</v>
      </c>
      <c r="E21" s="1" t="s">
        <v>17</v>
      </c>
      <c r="F21" s="1">
        <v>17000</v>
      </c>
      <c r="G21" s="1">
        <v>2</v>
      </c>
      <c r="H21" s="1">
        <v>2000</v>
      </c>
      <c r="J21" s="2" t="s">
        <v>67</v>
      </c>
      <c r="K21" s="4">
        <f>SUMIF(E2:E41,"Electronics",H2:H41)</f>
        <v>69700</v>
      </c>
      <c r="M21" s="7"/>
      <c r="N21" s="8"/>
      <c r="P21" s="2" t="s">
        <v>2</v>
      </c>
      <c r="Q21" s="2" t="s">
        <v>75</v>
      </c>
    </row>
    <row r="22" spans="1:17" ht="17.399999999999999" x14ac:dyDescent="0.3">
      <c r="A22" s="9" t="s">
        <v>97</v>
      </c>
      <c r="B22" s="1" t="s">
        <v>43</v>
      </c>
      <c r="C22" s="1" t="s">
        <v>8</v>
      </c>
      <c r="D22" s="1" t="s">
        <v>9</v>
      </c>
      <c r="E22" s="1" t="s">
        <v>10</v>
      </c>
      <c r="F22" s="1">
        <v>58000</v>
      </c>
      <c r="G22" s="1">
        <v>7</v>
      </c>
      <c r="H22" s="1">
        <v>7500</v>
      </c>
      <c r="M22" s="16" t="s">
        <v>72</v>
      </c>
      <c r="N22" s="17"/>
      <c r="P22" s="2" t="s">
        <v>81</v>
      </c>
      <c r="Q22" s="4">
        <f>INDEX(F2:F41,MATCH(P22,A2:A41))</f>
        <v>19000</v>
      </c>
    </row>
    <row r="23" spans="1:17" x14ac:dyDescent="0.3">
      <c r="A23" s="9" t="s">
        <v>98</v>
      </c>
      <c r="B23" s="1" t="s">
        <v>44</v>
      </c>
      <c r="C23" s="1" t="s">
        <v>12</v>
      </c>
      <c r="D23" s="1" t="s">
        <v>13</v>
      </c>
      <c r="E23" s="1" t="s">
        <v>10</v>
      </c>
      <c r="F23" s="1">
        <v>14000</v>
      </c>
      <c r="G23" s="1">
        <v>3</v>
      </c>
      <c r="H23" s="1">
        <v>1900</v>
      </c>
      <c r="M23" s="2" t="s">
        <v>117</v>
      </c>
      <c r="N23" s="2" t="s">
        <v>5</v>
      </c>
      <c r="P23" s="7"/>
      <c r="Q23" s="8"/>
    </row>
    <row r="24" spans="1:17" ht="17.399999999999999" x14ac:dyDescent="0.3">
      <c r="A24" s="9" t="s">
        <v>99</v>
      </c>
      <c r="B24" s="1" t="s">
        <v>45</v>
      </c>
      <c r="C24" s="1" t="s">
        <v>15</v>
      </c>
      <c r="D24" s="1" t="s">
        <v>16</v>
      </c>
      <c r="E24" s="1" t="s">
        <v>17</v>
      </c>
      <c r="F24" s="1">
        <v>9500</v>
      </c>
      <c r="G24" s="1">
        <v>6</v>
      </c>
      <c r="H24" s="1">
        <v>1200</v>
      </c>
      <c r="M24" s="2" t="s">
        <v>86</v>
      </c>
      <c r="N24" s="10">
        <f>VLOOKUP(M24,A1:H41,7,0)</f>
        <v>1</v>
      </c>
      <c r="P24" s="16" t="s">
        <v>69</v>
      </c>
      <c r="Q24" s="17"/>
    </row>
    <row r="25" spans="1:17" x14ac:dyDescent="0.3">
      <c r="A25" s="9" t="s">
        <v>100</v>
      </c>
      <c r="B25" s="1" t="s">
        <v>46</v>
      </c>
      <c r="C25" s="1" t="s">
        <v>19</v>
      </c>
      <c r="D25" s="1" t="s">
        <v>20</v>
      </c>
      <c r="E25" s="1" t="s">
        <v>17</v>
      </c>
      <c r="F25" s="1">
        <v>26000</v>
      </c>
      <c r="G25" s="1">
        <v>2</v>
      </c>
      <c r="H25" s="1">
        <v>3700</v>
      </c>
      <c r="P25" s="2" t="s">
        <v>2</v>
      </c>
      <c r="Q25" s="2" t="s">
        <v>6</v>
      </c>
    </row>
    <row r="26" spans="1:17" ht="17.399999999999999" x14ac:dyDescent="0.3">
      <c r="A26" s="9" t="s">
        <v>101</v>
      </c>
      <c r="B26" s="1" t="s">
        <v>47</v>
      </c>
      <c r="C26" s="1" t="s">
        <v>8</v>
      </c>
      <c r="D26" s="1" t="s">
        <v>22</v>
      </c>
      <c r="E26" s="1" t="s">
        <v>10</v>
      </c>
      <c r="F26" s="1">
        <v>33000</v>
      </c>
      <c r="G26" s="1">
        <v>5</v>
      </c>
      <c r="H26" s="1">
        <v>4500</v>
      </c>
      <c r="P26" s="2" t="s">
        <v>81</v>
      </c>
      <c r="Q26" s="6">
        <f>INDEX(H2:H41,MATCH(P26,A2:A41))</f>
        <v>2300</v>
      </c>
    </row>
    <row r="27" spans="1:17" x14ac:dyDescent="0.3">
      <c r="A27" s="9" t="s">
        <v>102</v>
      </c>
      <c r="B27" s="1" t="s">
        <v>48</v>
      </c>
      <c r="C27" s="1" t="s">
        <v>12</v>
      </c>
      <c r="D27" s="1" t="s">
        <v>24</v>
      </c>
      <c r="E27" s="1" t="s">
        <v>10</v>
      </c>
      <c r="F27" s="1">
        <v>4800</v>
      </c>
      <c r="G27" s="1">
        <v>9</v>
      </c>
      <c r="H27" s="1">
        <v>800</v>
      </c>
      <c r="P27" s="7"/>
      <c r="Q27" s="8"/>
    </row>
    <row r="28" spans="1:17" x14ac:dyDescent="0.3">
      <c r="A28" s="9" t="s">
        <v>103</v>
      </c>
      <c r="B28" s="1" t="s">
        <v>49</v>
      </c>
      <c r="C28" s="1" t="s">
        <v>15</v>
      </c>
      <c r="D28" s="1" t="s">
        <v>26</v>
      </c>
      <c r="E28" s="1" t="s">
        <v>17</v>
      </c>
      <c r="F28" s="1">
        <v>50000</v>
      </c>
      <c r="G28" s="1">
        <v>3</v>
      </c>
      <c r="H28" s="1">
        <v>6000</v>
      </c>
      <c r="P28" s="16" t="s">
        <v>70</v>
      </c>
      <c r="Q28" s="17"/>
    </row>
    <row r="29" spans="1:17" x14ac:dyDescent="0.3">
      <c r="A29" s="9" t="s">
        <v>104</v>
      </c>
      <c r="B29" s="1" t="s">
        <v>50</v>
      </c>
      <c r="C29" s="1" t="s">
        <v>19</v>
      </c>
      <c r="D29" s="1" t="s">
        <v>28</v>
      </c>
      <c r="E29" s="1" t="s">
        <v>10</v>
      </c>
      <c r="F29" s="1">
        <v>20000</v>
      </c>
      <c r="G29" s="1">
        <v>4</v>
      </c>
      <c r="H29" s="1">
        <v>2800</v>
      </c>
      <c r="P29" s="2" t="s">
        <v>117</v>
      </c>
      <c r="Q29" s="2" t="s">
        <v>1</v>
      </c>
    </row>
    <row r="30" spans="1:17" ht="17.399999999999999" x14ac:dyDescent="0.3">
      <c r="A30" s="9" t="s">
        <v>105</v>
      </c>
      <c r="B30" s="1" t="s">
        <v>51</v>
      </c>
      <c r="C30" s="1" t="s">
        <v>8</v>
      </c>
      <c r="D30" s="1" t="s">
        <v>30</v>
      </c>
      <c r="E30" s="1" t="s">
        <v>10</v>
      </c>
      <c r="F30" s="1">
        <v>3000</v>
      </c>
      <c r="G30" s="1">
        <v>13</v>
      </c>
      <c r="H30" s="1">
        <v>500</v>
      </c>
      <c r="P30" s="2" t="s">
        <v>77</v>
      </c>
      <c r="Q30" s="4" t="str">
        <f>INDEX(C2:C41,MATCH(P30,A2:A41))</f>
        <v>North</v>
      </c>
    </row>
    <row r="31" spans="1:17" x14ac:dyDescent="0.3">
      <c r="A31" s="9" t="s">
        <v>106</v>
      </c>
      <c r="B31" s="1" t="s">
        <v>52</v>
      </c>
      <c r="C31" s="1" t="s">
        <v>12</v>
      </c>
      <c r="D31" s="1" t="s">
        <v>32</v>
      </c>
      <c r="E31" s="1" t="s">
        <v>17</v>
      </c>
      <c r="F31" s="1">
        <v>18000</v>
      </c>
      <c r="G31" s="1">
        <v>2</v>
      </c>
      <c r="H31" s="1">
        <v>2100</v>
      </c>
      <c r="P31" s="7"/>
    </row>
    <row r="32" spans="1:17" x14ac:dyDescent="0.3">
      <c r="A32" s="9" t="s">
        <v>107</v>
      </c>
      <c r="B32" s="1" t="s">
        <v>53</v>
      </c>
      <c r="C32" s="1" t="s">
        <v>15</v>
      </c>
      <c r="D32" s="1" t="s">
        <v>9</v>
      </c>
      <c r="E32" s="1" t="s">
        <v>10</v>
      </c>
      <c r="F32" s="1">
        <v>60000</v>
      </c>
      <c r="G32" s="1">
        <v>8</v>
      </c>
      <c r="H32" s="1">
        <v>8000</v>
      </c>
      <c r="P32" s="16" t="s">
        <v>71</v>
      </c>
      <c r="Q32" s="20"/>
    </row>
    <row r="33" spans="1:41" x14ac:dyDescent="0.3">
      <c r="A33" s="9" t="s">
        <v>108</v>
      </c>
      <c r="B33" s="1" t="s">
        <v>54</v>
      </c>
      <c r="C33" s="1" t="s">
        <v>19</v>
      </c>
      <c r="D33" s="1" t="s">
        <v>13</v>
      </c>
      <c r="E33" s="1" t="s">
        <v>10</v>
      </c>
      <c r="F33" s="1">
        <v>15000</v>
      </c>
      <c r="G33" s="1">
        <v>3</v>
      </c>
      <c r="H33" s="1">
        <v>2100</v>
      </c>
      <c r="P33" s="2" t="s">
        <v>117</v>
      </c>
      <c r="Q33" s="2" t="s">
        <v>3</v>
      </c>
    </row>
    <row r="34" spans="1:41" ht="17.399999999999999" x14ac:dyDescent="0.3">
      <c r="A34" s="9" t="s">
        <v>109</v>
      </c>
      <c r="B34" s="1" t="s">
        <v>55</v>
      </c>
      <c r="C34" s="1" t="s">
        <v>8</v>
      </c>
      <c r="D34" s="1" t="s">
        <v>20</v>
      </c>
      <c r="E34" s="1" t="s">
        <v>17</v>
      </c>
      <c r="F34" s="1">
        <v>27000</v>
      </c>
      <c r="G34" s="1">
        <v>3</v>
      </c>
      <c r="H34" s="1">
        <v>3800</v>
      </c>
      <c r="P34" s="2" t="s">
        <v>79</v>
      </c>
      <c r="Q34" s="4" t="str">
        <f>INDEX(E2:E41,MATCH(P34,A2:A41))</f>
        <v>Electronics</v>
      </c>
    </row>
    <row r="35" spans="1:41" x14ac:dyDescent="0.3">
      <c r="A35" s="9" t="s">
        <v>110</v>
      </c>
      <c r="B35" s="1" t="s">
        <v>56</v>
      </c>
      <c r="C35" s="1" t="s">
        <v>12</v>
      </c>
      <c r="D35" s="1" t="s">
        <v>22</v>
      </c>
      <c r="E35" s="1" t="s">
        <v>10</v>
      </c>
      <c r="F35" s="1">
        <v>34000</v>
      </c>
      <c r="G35" s="1">
        <v>6</v>
      </c>
      <c r="H35" s="1">
        <v>4600</v>
      </c>
      <c r="P35" s="7"/>
      <c r="Q35" s="8"/>
    </row>
    <row r="36" spans="1:41" x14ac:dyDescent="0.3">
      <c r="A36" s="9" t="s">
        <v>111</v>
      </c>
      <c r="B36" s="1" t="s">
        <v>57</v>
      </c>
      <c r="C36" s="1" t="s">
        <v>15</v>
      </c>
      <c r="D36" s="1" t="s">
        <v>16</v>
      </c>
      <c r="E36" s="1" t="s">
        <v>17</v>
      </c>
      <c r="F36" s="1">
        <v>10000</v>
      </c>
      <c r="G36" s="1">
        <v>5</v>
      </c>
      <c r="H36" s="1">
        <v>1300</v>
      </c>
      <c r="P36" s="16" t="s">
        <v>72</v>
      </c>
      <c r="Q36" s="17"/>
    </row>
    <row r="37" spans="1:41" x14ac:dyDescent="0.3">
      <c r="A37" s="9" t="s">
        <v>112</v>
      </c>
      <c r="B37" s="1" t="s">
        <v>58</v>
      </c>
      <c r="C37" s="1" t="s">
        <v>19</v>
      </c>
      <c r="D37" s="1" t="s">
        <v>24</v>
      </c>
      <c r="E37" s="1" t="s">
        <v>10</v>
      </c>
      <c r="F37" s="1">
        <v>5000</v>
      </c>
      <c r="G37" s="1">
        <v>11</v>
      </c>
      <c r="H37" s="1">
        <v>900</v>
      </c>
      <c r="P37" s="2" t="s">
        <v>117</v>
      </c>
      <c r="Q37" s="2" t="s">
        <v>5</v>
      </c>
    </row>
    <row r="38" spans="1:41" ht="17.399999999999999" x14ac:dyDescent="0.3">
      <c r="A38" s="9" t="s">
        <v>113</v>
      </c>
      <c r="B38" s="1" t="s">
        <v>59</v>
      </c>
      <c r="C38" s="1" t="s">
        <v>8</v>
      </c>
      <c r="D38" s="1" t="s">
        <v>26</v>
      </c>
      <c r="E38" s="1" t="s">
        <v>17</v>
      </c>
      <c r="F38" s="1">
        <v>52000</v>
      </c>
      <c r="G38" s="1">
        <v>2</v>
      </c>
      <c r="H38" s="1">
        <v>6500</v>
      </c>
      <c r="P38" s="2" t="s">
        <v>88</v>
      </c>
      <c r="Q38" s="10">
        <f>INDEX(G2:G41,MATCH(P38,A2:A41))</f>
        <v>3</v>
      </c>
    </row>
    <row r="39" spans="1:41" x14ac:dyDescent="0.3">
      <c r="A39" s="9" t="s">
        <v>114</v>
      </c>
      <c r="B39" s="1" t="s">
        <v>60</v>
      </c>
      <c r="C39" s="1" t="s">
        <v>12</v>
      </c>
      <c r="D39" s="1" t="s">
        <v>28</v>
      </c>
      <c r="E39" s="1" t="s">
        <v>10</v>
      </c>
      <c r="F39" s="1">
        <v>21000</v>
      </c>
      <c r="G39" s="1">
        <v>4</v>
      </c>
      <c r="H39" s="1">
        <v>3000</v>
      </c>
    </row>
    <row r="40" spans="1:41" x14ac:dyDescent="0.3">
      <c r="A40" s="9" t="s">
        <v>115</v>
      </c>
      <c r="B40" s="1" t="s">
        <v>61</v>
      </c>
      <c r="C40" s="1" t="s">
        <v>15</v>
      </c>
      <c r="D40" s="1" t="s">
        <v>30</v>
      </c>
      <c r="E40" s="1" t="s">
        <v>10</v>
      </c>
      <c r="F40" s="1">
        <v>3500</v>
      </c>
      <c r="G40" s="1">
        <v>14</v>
      </c>
      <c r="H40" s="1">
        <v>600</v>
      </c>
    </row>
    <row r="41" spans="1:41" x14ac:dyDescent="0.3">
      <c r="A41" s="9" t="s">
        <v>116</v>
      </c>
      <c r="B41" s="1" t="s">
        <v>62</v>
      </c>
      <c r="C41" s="1" t="s">
        <v>19</v>
      </c>
      <c r="D41" s="1" t="s">
        <v>32</v>
      </c>
      <c r="E41" s="1" t="s">
        <v>17</v>
      </c>
      <c r="F41" s="1">
        <v>19000</v>
      </c>
      <c r="G41" s="1">
        <v>3</v>
      </c>
      <c r="H41" s="1">
        <v>2300</v>
      </c>
    </row>
    <row r="42" spans="1:41" x14ac:dyDescent="0.3">
      <c r="D42" s="11" t="s">
        <v>121</v>
      </c>
      <c r="F42" s="11" t="s">
        <v>122</v>
      </c>
      <c r="H42" s="11" t="s">
        <v>120</v>
      </c>
    </row>
    <row r="43" spans="1:41" x14ac:dyDescent="0.3">
      <c r="A43" s="2" t="s">
        <v>76</v>
      </c>
      <c r="B43" s="9" t="s">
        <v>77</v>
      </c>
      <c r="C43" s="9" t="s">
        <v>78</v>
      </c>
      <c r="D43" s="9" t="s">
        <v>79</v>
      </c>
      <c r="E43" s="9" t="s">
        <v>80</v>
      </c>
      <c r="F43" s="9" t="s">
        <v>81</v>
      </c>
      <c r="G43" s="9" t="s">
        <v>82</v>
      </c>
      <c r="H43" s="9" t="s">
        <v>83</v>
      </c>
      <c r="I43" s="9" t="s">
        <v>84</v>
      </c>
      <c r="L43" s="9" t="s">
        <v>87</v>
      </c>
      <c r="M43" s="9" t="s">
        <v>88</v>
      </c>
      <c r="N43" s="9" t="s">
        <v>89</v>
      </c>
      <c r="O43" s="9" t="s">
        <v>90</v>
      </c>
      <c r="P43" s="9" t="s">
        <v>91</v>
      </c>
      <c r="Q43" s="9" t="s">
        <v>92</v>
      </c>
      <c r="R43" s="9" t="s">
        <v>93</v>
      </c>
      <c r="S43" s="9" t="s">
        <v>94</v>
      </c>
      <c r="T43" s="9" t="s">
        <v>95</v>
      </c>
      <c r="U43" s="9" t="s">
        <v>96</v>
      </c>
      <c r="V43" s="9" t="s">
        <v>97</v>
      </c>
      <c r="W43" s="9" t="s">
        <v>98</v>
      </c>
      <c r="X43" s="9" t="s">
        <v>99</v>
      </c>
      <c r="Y43" s="9" t="s">
        <v>100</v>
      </c>
      <c r="Z43" s="9" t="s">
        <v>101</v>
      </c>
      <c r="AA43" s="9" t="s">
        <v>102</v>
      </c>
      <c r="AB43" s="9" t="s">
        <v>103</v>
      </c>
      <c r="AC43" s="9" t="s">
        <v>104</v>
      </c>
      <c r="AD43" s="9" t="s">
        <v>105</v>
      </c>
      <c r="AE43" s="9" t="s">
        <v>106</v>
      </c>
      <c r="AF43" s="9" t="s">
        <v>107</v>
      </c>
      <c r="AG43" s="9" t="s">
        <v>108</v>
      </c>
      <c r="AH43" s="9" t="s">
        <v>109</v>
      </c>
      <c r="AI43" s="9" t="s">
        <v>110</v>
      </c>
      <c r="AJ43" s="9" t="s">
        <v>111</v>
      </c>
      <c r="AK43" s="9" t="s">
        <v>112</v>
      </c>
      <c r="AL43" s="9" t="s">
        <v>113</v>
      </c>
      <c r="AM43" s="9" t="s">
        <v>114</v>
      </c>
      <c r="AN43" s="9" t="s">
        <v>115</v>
      </c>
      <c r="AO43" s="9" t="s">
        <v>116</v>
      </c>
    </row>
    <row r="44" spans="1:41" x14ac:dyDescent="0.3">
      <c r="A44" s="2" t="s">
        <v>0</v>
      </c>
      <c r="B44" s="1" t="s">
        <v>7</v>
      </c>
      <c r="C44" s="1" t="s">
        <v>11</v>
      </c>
      <c r="D44" s="1" t="s">
        <v>14</v>
      </c>
      <c r="E44" s="1" t="s">
        <v>18</v>
      </c>
      <c r="F44" s="1" t="s">
        <v>21</v>
      </c>
      <c r="G44" s="1" t="s">
        <v>23</v>
      </c>
      <c r="H44" s="1" t="s">
        <v>25</v>
      </c>
      <c r="I44" s="1" t="s">
        <v>27</v>
      </c>
      <c r="J44" s="1" t="s">
        <v>29</v>
      </c>
      <c r="K44" s="1" t="s">
        <v>31</v>
      </c>
      <c r="L44" s="1" t="s">
        <v>33</v>
      </c>
      <c r="M44" s="1" t="s">
        <v>34</v>
      </c>
      <c r="N44" s="1" t="s">
        <v>35</v>
      </c>
      <c r="O44" s="1" t="s">
        <v>36</v>
      </c>
      <c r="P44" s="1" t="s">
        <v>37</v>
      </c>
      <c r="Q44" s="1" t="s">
        <v>38</v>
      </c>
      <c r="R44" s="1" t="s">
        <v>39</v>
      </c>
      <c r="S44" s="1" t="s">
        <v>40</v>
      </c>
      <c r="T44" s="1" t="s">
        <v>41</v>
      </c>
      <c r="U44" s="1" t="s">
        <v>42</v>
      </c>
      <c r="V44" s="1" t="s">
        <v>43</v>
      </c>
      <c r="W44" s="1" t="s">
        <v>44</v>
      </c>
      <c r="X44" s="1" t="s">
        <v>45</v>
      </c>
      <c r="Y44" s="1" t="s">
        <v>46</v>
      </c>
      <c r="Z44" s="1" t="s">
        <v>47</v>
      </c>
      <c r="AA44" s="1" t="s">
        <v>48</v>
      </c>
      <c r="AB44" s="1" t="s">
        <v>49</v>
      </c>
      <c r="AC44" s="1" t="s">
        <v>50</v>
      </c>
      <c r="AD44" s="1" t="s">
        <v>51</v>
      </c>
      <c r="AE44" s="1" t="s">
        <v>52</v>
      </c>
      <c r="AF44" s="1" t="s">
        <v>53</v>
      </c>
      <c r="AG44" s="1" t="s">
        <v>54</v>
      </c>
      <c r="AH44" s="1" t="s">
        <v>55</v>
      </c>
      <c r="AI44" s="1" t="s">
        <v>56</v>
      </c>
      <c r="AJ44" s="1" t="s">
        <v>57</v>
      </c>
      <c r="AK44" s="1" t="s">
        <v>58</v>
      </c>
      <c r="AL44" s="1" t="s">
        <v>59</v>
      </c>
      <c r="AM44" s="1" t="s">
        <v>60</v>
      </c>
      <c r="AN44" s="1" t="s">
        <v>61</v>
      </c>
      <c r="AO44" s="1" t="s">
        <v>62</v>
      </c>
    </row>
    <row r="45" spans="1:41" x14ac:dyDescent="0.3">
      <c r="A45" s="2" t="s">
        <v>1</v>
      </c>
      <c r="B45" s="1" t="s">
        <v>8</v>
      </c>
      <c r="C45" s="1" t="s">
        <v>12</v>
      </c>
      <c r="D45" s="1" t="s">
        <v>15</v>
      </c>
      <c r="E45" s="1" t="s">
        <v>19</v>
      </c>
      <c r="F45" s="1" t="s">
        <v>8</v>
      </c>
      <c r="G45" s="1" t="s">
        <v>12</v>
      </c>
      <c r="H45" s="1" t="s">
        <v>15</v>
      </c>
      <c r="I45" s="1" t="s">
        <v>19</v>
      </c>
      <c r="J45" s="1" t="s">
        <v>8</v>
      </c>
      <c r="K45" s="1" t="s">
        <v>12</v>
      </c>
      <c r="L45" s="1" t="s">
        <v>15</v>
      </c>
      <c r="M45" s="1" t="s">
        <v>19</v>
      </c>
      <c r="N45" s="1" t="s">
        <v>8</v>
      </c>
      <c r="O45" s="1" t="s">
        <v>12</v>
      </c>
      <c r="P45" s="1" t="s">
        <v>15</v>
      </c>
      <c r="Q45" s="1" t="s">
        <v>19</v>
      </c>
      <c r="R45" s="1" t="s">
        <v>8</v>
      </c>
      <c r="S45" s="1" t="s">
        <v>12</v>
      </c>
      <c r="T45" s="1" t="s">
        <v>15</v>
      </c>
      <c r="U45" s="1" t="s">
        <v>19</v>
      </c>
      <c r="V45" s="1" t="s">
        <v>8</v>
      </c>
      <c r="W45" s="1" t="s">
        <v>12</v>
      </c>
      <c r="X45" s="1" t="s">
        <v>15</v>
      </c>
      <c r="Y45" s="1" t="s">
        <v>19</v>
      </c>
      <c r="Z45" s="1" t="s">
        <v>8</v>
      </c>
      <c r="AA45" s="1" t="s">
        <v>12</v>
      </c>
      <c r="AB45" s="1" t="s">
        <v>15</v>
      </c>
      <c r="AC45" s="1" t="s">
        <v>19</v>
      </c>
      <c r="AD45" s="1" t="s">
        <v>8</v>
      </c>
      <c r="AE45" s="1" t="s">
        <v>12</v>
      </c>
      <c r="AF45" s="1" t="s">
        <v>15</v>
      </c>
      <c r="AG45" s="1" t="s">
        <v>19</v>
      </c>
      <c r="AH45" s="1" t="s">
        <v>8</v>
      </c>
      <c r="AI45" s="1" t="s">
        <v>12</v>
      </c>
      <c r="AJ45" s="1" t="s">
        <v>15</v>
      </c>
      <c r="AK45" s="1" t="s">
        <v>19</v>
      </c>
      <c r="AL45" s="1" t="s">
        <v>8</v>
      </c>
      <c r="AM45" s="1" t="s">
        <v>12</v>
      </c>
      <c r="AN45" s="1" t="s">
        <v>15</v>
      </c>
      <c r="AO45" s="1" t="s">
        <v>19</v>
      </c>
    </row>
    <row r="46" spans="1:41" x14ac:dyDescent="0.3">
      <c r="A46" s="2" t="s">
        <v>2</v>
      </c>
      <c r="B46" s="1" t="s">
        <v>9</v>
      </c>
      <c r="C46" s="1" t="s">
        <v>13</v>
      </c>
      <c r="D46" s="1" t="s">
        <v>16</v>
      </c>
      <c r="E46" s="1" t="s">
        <v>20</v>
      </c>
      <c r="F46" s="1" t="s">
        <v>22</v>
      </c>
      <c r="G46" s="1" t="s">
        <v>24</v>
      </c>
      <c r="H46" s="1" t="s">
        <v>26</v>
      </c>
      <c r="I46" s="1" t="s">
        <v>28</v>
      </c>
      <c r="J46" s="1" t="s">
        <v>30</v>
      </c>
      <c r="K46" s="1" t="s">
        <v>32</v>
      </c>
      <c r="L46" s="1" t="s">
        <v>9</v>
      </c>
      <c r="M46" s="1" t="s">
        <v>13</v>
      </c>
      <c r="N46" s="1" t="s">
        <v>20</v>
      </c>
      <c r="O46" s="1" t="s">
        <v>22</v>
      </c>
      <c r="P46" s="1" t="s">
        <v>16</v>
      </c>
      <c r="Q46" s="1" t="s">
        <v>24</v>
      </c>
      <c r="R46" s="1" t="s">
        <v>26</v>
      </c>
      <c r="S46" s="1" t="s">
        <v>28</v>
      </c>
      <c r="T46" s="1" t="s">
        <v>30</v>
      </c>
      <c r="U46" s="1" t="s">
        <v>32</v>
      </c>
      <c r="V46" s="1" t="s">
        <v>9</v>
      </c>
      <c r="W46" s="1" t="s">
        <v>13</v>
      </c>
      <c r="X46" s="1" t="s">
        <v>16</v>
      </c>
      <c r="Y46" s="1" t="s">
        <v>20</v>
      </c>
      <c r="Z46" s="1" t="s">
        <v>22</v>
      </c>
      <c r="AA46" s="1" t="s">
        <v>24</v>
      </c>
      <c r="AB46" s="1" t="s">
        <v>26</v>
      </c>
      <c r="AC46" s="1" t="s">
        <v>28</v>
      </c>
      <c r="AD46" s="1" t="s">
        <v>30</v>
      </c>
      <c r="AE46" s="1" t="s">
        <v>32</v>
      </c>
      <c r="AF46" s="1" t="s">
        <v>9</v>
      </c>
      <c r="AG46" s="1" t="s">
        <v>13</v>
      </c>
      <c r="AH46" s="1" t="s">
        <v>20</v>
      </c>
      <c r="AI46" s="1" t="s">
        <v>22</v>
      </c>
      <c r="AJ46" s="1" t="s">
        <v>16</v>
      </c>
      <c r="AK46" s="1" t="s">
        <v>24</v>
      </c>
      <c r="AL46" s="1" t="s">
        <v>26</v>
      </c>
      <c r="AM46" s="1" t="s">
        <v>28</v>
      </c>
      <c r="AN46" s="1" t="s">
        <v>30</v>
      </c>
      <c r="AO46" s="1" t="s">
        <v>32</v>
      </c>
    </row>
    <row r="47" spans="1:41" x14ac:dyDescent="0.3">
      <c r="A47" s="2" t="s">
        <v>3</v>
      </c>
      <c r="B47" s="1" t="s">
        <v>10</v>
      </c>
      <c r="C47" s="1" t="s">
        <v>10</v>
      </c>
      <c r="D47" s="1" t="s">
        <v>17</v>
      </c>
      <c r="E47" s="1" t="s">
        <v>17</v>
      </c>
      <c r="F47" s="1" t="s">
        <v>10</v>
      </c>
      <c r="G47" s="1" t="s">
        <v>10</v>
      </c>
      <c r="H47" s="1" t="s">
        <v>17</v>
      </c>
      <c r="I47" s="1" t="s">
        <v>10</v>
      </c>
      <c r="J47" s="1" t="s">
        <v>10</v>
      </c>
      <c r="K47" s="1" t="s">
        <v>17</v>
      </c>
      <c r="L47" s="1" t="s">
        <v>10</v>
      </c>
      <c r="M47" s="1" t="s">
        <v>10</v>
      </c>
      <c r="N47" s="1" t="s">
        <v>17</v>
      </c>
      <c r="O47" s="1" t="s">
        <v>10</v>
      </c>
      <c r="P47" s="1" t="s">
        <v>17</v>
      </c>
      <c r="Q47" s="1" t="s">
        <v>10</v>
      </c>
      <c r="R47" s="1" t="s">
        <v>17</v>
      </c>
      <c r="S47" s="1" t="s">
        <v>10</v>
      </c>
      <c r="T47" s="1" t="s">
        <v>10</v>
      </c>
      <c r="U47" s="1" t="s">
        <v>17</v>
      </c>
      <c r="V47" s="1" t="s">
        <v>10</v>
      </c>
      <c r="W47" s="1" t="s">
        <v>10</v>
      </c>
      <c r="X47" s="1" t="s">
        <v>17</v>
      </c>
      <c r="Y47" s="1" t="s">
        <v>17</v>
      </c>
      <c r="Z47" s="1" t="s">
        <v>10</v>
      </c>
      <c r="AA47" s="1" t="s">
        <v>10</v>
      </c>
      <c r="AB47" s="1" t="s">
        <v>17</v>
      </c>
      <c r="AC47" s="1" t="s">
        <v>10</v>
      </c>
      <c r="AD47" s="1" t="s">
        <v>10</v>
      </c>
      <c r="AE47" s="1" t="s">
        <v>17</v>
      </c>
      <c r="AF47" s="1" t="s">
        <v>10</v>
      </c>
      <c r="AG47" s="1" t="s">
        <v>10</v>
      </c>
      <c r="AH47" s="1" t="s">
        <v>17</v>
      </c>
      <c r="AI47" s="1" t="s">
        <v>10</v>
      </c>
      <c r="AJ47" s="1" t="s">
        <v>17</v>
      </c>
      <c r="AK47" s="1" t="s">
        <v>10</v>
      </c>
      <c r="AL47" s="1" t="s">
        <v>17</v>
      </c>
      <c r="AM47" s="1" t="s">
        <v>10</v>
      </c>
      <c r="AN47" s="1" t="s">
        <v>10</v>
      </c>
      <c r="AO47" s="1" t="s">
        <v>17</v>
      </c>
    </row>
    <row r="48" spans="1:41" x14ac:dyDescent="0.3">
      <c r="A48" s="2" t="s">
        <v>4</v>
      </c>
      <c r="B48" s="1">
        <v>54000</v>
      </c>
      <c r="C48" s="1">
        <v>12000</v>
      </c>
      <c r="D48" s="1">
        <v>8000</v>
      </c>
      <c r="E48" s="1">
        <v>22000</v>
      </c>
      <c r="F48" s="1">
        <v>30000</v>
      </c>
      <c r="G48" s="1">
        <v>4000</v>
      </c>
      <c r="H48" s="1">
        <v>48000</v>
      </c>
      <c r="I48" s="1">
        <v>18000</v>
      </c>
      <c r="J48" s="1">
        <v>2000</v>
      </c>
      <c r="K48" s="1">
        <v>15000</v>
      </c>
      <c r="L48" s="1">
        <v>56000</v>
      </c>
      <c r="M48" s="1">
        <v>13000</v>
      </c>
      <c r="N48" s="1">
        <v>24000</v>
      </c>
      <c r="O48" s="1">
        <v>32000</v>
      </c>
      <c r="P48" s="1">
        <v>9000</v>
      </c>
      <c r="Q48" s="1">
        <v>4500</v>
      </c>
      <c r="R48" s="1">
        <v>49000</v>
      </c>
      <c r="S48" s="1">
        <v>19000</v>
      </c>
      <c r="T48" s="1">
        <v>2500</v>
      </c>
      <c r="U48" s="1">
        <v>17000</v>
      </c>
      <c r="V48" s="1">
        <v>58000</v>
      </c>
      <c r="W48" s="1">
        <v>14000</v>
      </c>
      <c r="X48" s="1">
        <v>9500</v>
      </c>
      <c r="Y48" s="1">
        <v>26000</v>
      </c>
      <c r="Z48" s="1">
        <v>33000</v>
      </c>
      <c r="AA48" s="1">
        <v>4800</v>
      </c>
      <c r="AB48" s="1">
        <v>50000</v>
      </c>
      <c r="AC48" s="1">
        <v>20000</v>
      </c>
      <c r="AD48" s="1">
        <v>3000</v>
      </c>
      <c r="AE48" s="1">
        <v>18000</v>
      </c>
      <c r="AF48" s="1">
        <v>60000</v>
      </c>
      <c r="AG48" s="1">
        <v>15000</v>
      </c>
      <c r="AH48" s="1">
        <v>27000</v>
      </c>
      <c r="AI48" s="1">
        <v>34000</v>
      </c>
      <c r="AJ48" s="1">
        <v>10000</v>
      </c>
      <c r="AK48" s="1">
        <v>5000</v>
      </c>
      <c r="AL48" s="1">
        <v>52000</v>
      </c>
      <c r="AM48" s="1">
        <v>21000</v>
      </c>
      <c r="AN48" s="1">
        <v>3500</v>
      </c>
      <c r="AO48" s="1">
        <v>19000</v>
      </c>
    </row>
    <row r="49" spans="1:41" x14ac:dyDescent="0.3">
      <c r="A49" s="2" t="s">
        <v>5</v>
      </c>
      <c r="B49" s="1">
        <v>5</v>
      </c>
      <c r="C49" s="1">
        <v>2</v>
      </c>
      <c r="D49" s="1">
        <v>4</v>
      </c>
      <c r="E49" s="1">
        <v>3</v>
      </c>
      <c r="F49" s="1">
        <v>6</v>
      </c>
      <c r="G49" s="1">
        <v>10</v>
      </c>
      <c r="H49" s="1">
        <v>2</v>
      </c>
      <c r="I49" s="1">
        <v>4</v>
      </c>
      <c r="J49" s="1">
        <v>15</v>
      </c>
      <c r="K49" s="1">
        <v>1</v>
      </c>
      <c r="L49" s="1">
        <v>6</v>
      </c>
      <c r="M49" s="1">
        <v>3</v>
      </c>
      <c r="N49" s="1">
        <v>2</v>
      </c>
      <c r="O49" s="1">
        <v>5</v>
      </c>
      <c r="P49" s="1">
        <v>5</v>
      </c>
      <c r="Q49" s="1">
        <v>8</v>
      </c>
      <c r="R49" s="1">
        <v>2</v>
      </c>
      <c r="S49" s="1">
        <v>4</v>
      </c>
      <c r="T49" s="1">
        <v>12</v>
      </c>
      <c r="U49" s="1">
        <v>2</v>
      </c>
      <c r="V49" s="1">
        <v>7</v>
      </c>
      <c r="W49" s="1">
        <v>3</v>
      </c>
      <c r="X49" s="1">
        <v>6</v>
      </c>
      <c r="Y49" s="1">
        <v>2</v>
      </c>
      <c r="Z49" s="1">
        <v>5</v>
      </c>
      <c r="AA49" s="1">
        <v>9</v>
      </c>
      <c r="AB49" s="1">
        <v>3</v>
      </c>
      <c r="AC49" s="1">
        <v>4</v>
      </c>
      <c r="AD49" s="1">
        <v>13</v>
      </c>
      <c r="AE49" s="1">
        <v>2</v>
      </c>
      <c r="AF49" s="1">
        <v>8</v>
      </c>
      <c r="AG49" s="1">
        <v>3</v>
      </c>
      <c r="AH49" s="1">
        <v>3</v>
      </c>
      <c r="AI49" s="1">
        <v>6</v>
      </c>
      <c r="AJ49" s="1">
        <v>5</v>
      </c>
      <c r="AK49" s="1">
        <v>11</v>
      </c>
      <c r="AL49" s="1">
        <v>2</v>
      </c>
      <c r="AM49" s="1">
        <v>4</v>
      </c>
      <c r="AN49" s="1">
        <v>14</v>
      </c>
      <c r="AO49" s="1">
        <v>3</v>
      </c>
    </row>
    <row r="50" spans="1:41" x14ac:dyDescent="0.3">
      <c r="A50" s="2" t="s">
        <v>6</v>
      </c>
      <c r="B50" s="1">
        <v>6500</v>
      </c>
      <c r="C50" s="1">
        <v>1500</v>
      </c>
      <c r="D50" s="1">
        <v>900</v>
      </c>
      <c r="E50" s="1">
        <v>3500</v>
      </c>
      <c r="F50" s="1">
        <v>4200</v>
      </c>
      <c r="G50" s="1">
        <v>600</v>
      </c>
      <c r="H50" s="1">
        <v>5500</v>
      </c>
      <c r="I50" s="1">
        <v>2500</v>
      </c>
      <c r="J50" s="1">
        <v>300</v>
      </c>
      <c r="K50" s="1">
        <v>1800</v>
      </c>
      <c r="L50" s="1">
        <v>7200</v>
      </c>
      <c r="M50" s="1">
        <v>1700</v>
      </c>
      <c r="N50" s="1">
        <v>3600</v>
      </c>
      <c r="O50" s="1">
        <v>4300</v>
      </c>
      <c r="P50" s="1">
        <v>1100</v>
      </c>
      <c r="Q50" s="1">
        <v>700</v>
      </c>
      <c r="R50" s="1">
        <v>5600</v>
      </c>
      <c r="S50" s="1">
        <v>2600</v>
      </c>
      <c r="T50" s="1">
        <v>400</v>
      </c>
      <c r="U50" s="1">
        <v>2000</v>
      </c>
      <c r="V50" s="1">
        <v>7500</v>
      </c>
      <c r="W50" s="1">
        <v>1900</v>
      </c>
      <c r="X50" s="1">
        <v>1200</v>
      </c>
      <c r="Y50" s="1">
        <v>3700</v>
      </c>
      <c r="Z50" s="1">
        <v>4500</v>
      </c>
      <c r="AA50" s="1">
        <v>800</v>
      </c>
      <c r="AB50" s="1">
        <v>6000</v>
      </c>
      <c r="AC50" s="1">
        <v>2800</v>
      </c>
      <c r="AD50" s="1">
        <v>500</v>
      </c>
      <c r="AE50" s="1">
        <v>2100</v>
      </c>
      <c r="AF50" s="1">
        <v>8000</v>
      </c>
      <c r="AG50" s="1">
        <v>2100</v>
      </c>
      <c r="AH50" s="1">
        <v>3800</v>
      </c>
      <c r="AI50" s="1">
        <v>4600</v>
      </c>
      <c r="AJ50" s="1">
        <v>1300</v>
      </c>
      <c r="AK50" s="1">
        <v>900</v>
      </c>
      <c r="AL50" s="1">
        <v>6500</v>
      </c>
      <c r="AM50" s="1">
        <v>3000</v>
      </c>
      <c r="AN50" s="1">
        <v>600</v>
      </c>
      <c r="AO50" s="1">
        <v>2300</v>
      </c>
    </row>
  </sheetData>
  <mergeCells count="22">
    <mergeCell ref="P4:Q4"/>
    <mergeCell ref="P6:Q6"/>
    <mergeCell ref="P10:Q10"/>
    <mergeCell ref="P14:Q14"/>
    <mergeCell ref="M4:N4"/>
    <mergeCell ref="M6:N6"/>
    <mergeCell ref="M10:N10"/>
    <mergeCell ref="M14:N14"/>
    <mergeCell ref="M18:N18"/>
    <mergeCell ref="M22:N22"/>
    <mergeCell ref="J4:K4"/>
    <mergeCell ref="J6:K6"/>
    <mergeCell ref="J10:K10"/>
    <mergeCell ref="J14:K14"/>
    <mergeCell ref="J17:K17"/>
    <mergeCell ref="J20:K20"/>
    <mergeCell ref="P36:Q36"/>
    <mergeCell ref="P18:Q18"/>
    <mergeCell ref="P20:Q20"/>
    <mergeCell ref="P24:Q24"/>
    <mergeCell ref="P28:Q28"/>
    <mergeCell ref="P32:Q32"/>
  </mergeCells>
  <conditionalFormatting sqref="D2:D41">
    <cfRule type="duplicateValues" dxfId="41" priority="1"/>
    <cfRule type="duplicateValues" dxfId="40" priority="2"/>
  </conditionalFormatting>
  <conditionalFormatting sqref="F1:F41">
    <cfRule type="top10" dxfId="39" priority="3" rank="5"/>
    <cfRule type="cellIs" dxfId="38" priority="6" operator="greaterThan">
      <formula>50000</formula>
    </cfRule>
  </conditionalFormatting>
  <conditionalFormatting sqref="F2">
    <cfRule type="top10" dxfId="37" priority="4" rank="5"/>
  </conditionalFormatting>
  <conditionalFormatting sqref="H2:H41">
    <cfRule type="cellIs" dxfId="36" priority="5" operator="lessThan">
      <formula>500</formula>
    </cfRule>
  </conditionalFormatting>
  <dataValidations count="2">
    <dataValidation type="list" allowBlank="1" showInputMessage="1" showErrorMessage="1" sqref="M12" xr:uid="{38A634D2-B8EB-4089-8500-F34683E65FB4}">
      <formula1>$S$3:$S$12</formula1>
    </dataValidation>
    <dataValidation type="list" allowBlank="1" showInputMessage="1" showErrorMessage="1" sqref="M16 M20 M24 P16 P38 P34 P30 P22 P26" xr:uid="{737D47A8-DFEB-4404-94F7-71734109FBFA}">
      <formula1>$A$2:$A$41</formula1>
    </dataValidation>
  </dataValidation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58CD3-BA7F-4B27-8E28-A07DDDA8E7C0}">
  <dimension ref="A1:J59"/>
  <sheetViews>
    <sheetView topLeftCell="A11" zoomScale="121" workbookViewId="0">
      <selection activeCell="A19" sqref="A19:A28"/>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 min="6" max="6" width="12.109375" bestFit="1" customWidth="1"/>
    <col min="7" max="7" width="12.5546875" bestFit="1" customWidth="1"/>
    <col min="8" max="8" width="11.6640625" bestFit="1" customWidth="1"/>
    <col min="9" max="9" width="13.44140625" bestFit="1" customWidth="1"/>
    <col min="10" max="11" width="14.88671875" bestFit="1" customWidth="1"/>
  </cols>
  <sheetData>
    <row r="1" spans="1:10" x14ac:dyDescent="0.3">
      <c r="A1" s="12" t="s">
        <v>123</v>
      </c>
      <c r="B1" t="s">
        <v>125</v>
      </c>
      <c r="I1" s="12" t="s">
        <v>123</v>
      </c>
      <c r="J1" t="s">
        <v>130</v>
      </c>
    </row>
    <row r="2" spans="1:10" x14ac:dyDescent="0.3">
      <c r="A2" s="13" t="s">
        <v>15</v>
      </c>
      <c r="B2" s="25">
        <v>256500</v>
      </c>
      <c r="I2" s="13" t="s">
        <v>10</v>
      </c>
      <c r="J2" s="25">
        <v>167</v>
      </c>
    </row>
    <row r="3" spans="1:10" x14ac:dyDescent="0.3">
      <c r="A3" s="13" t="s">
        <v>8</v>
      </c>
      <c r="B3" s="25">
        <v>332000</v>
      </c>
      <c r="I3" s="26" t="s">
        <v>24</v>
      </c>
      <c r="J3" s="25">
        <v>38</v>
      </c>
    </row>
    <row r="4" spans="1:10" x14ac:dyDescent="0.3">
      <c r="A4" s="13" t="s">
        <v>12</v>
      </c>
      <c r="B4" s="25">
        <v>173800</v>
      </c>
      <c r="I4" s="26" t="s">
        <v>9</v>
      </c>
      <c r="J4" s="25">
        <v>26</v>
      </c>
    </row>
    <row r="5" spans="1:10" x14ac:dyDescent="0.3">
      <c r="A5" s="13" t="s">
        <v>19</v>
      </c>
      <c r="B5" s="25">
        <v>159500</v>
      </c>
      <c r="I5" s="26" t="s">
        <v>28</v>
      </c>
      <c r="J5" s="25">
        <v>16</v>
      </c>
    </row>
    <row r="6" spans="1:10" x14ac:dyDescent="0.3">
      <c r="A6" s="13" t="s">
        <v>124</v>
      </c>
      <c r="B6" s="25">
        <v>921800</v>
      </c>
      <c r="I6" s="26" t="s">
        <v>30</v>
      </c>
      <c r="J6" s="25">
        <v>54</v>
      </c>
    </row>
    <row r="7" spans="1:10" x14ac:dyDescent="0.3">
      <c r="A7" s="23" t="s">
        <v>126</v>
      </c>
      <c r="B7" s="24"/>
      <c r="I7" s="26" t="s">
        <v>22</v>
      </c>
      <c r="J7" s="25">
        <v>22</v>
      </c>
    </row>
    <row r="8" spans="1:10" x14ac:dyDescent="0.3">
      <c r="I8" s="26" t="s">
        <v>13</v>
      </c>
      <c r="J8" s="25">
        <v>11</v>
      </c>
    </row>
    <row r="9" spans="1:10" x14ac:dyDescent="0.3">
      <c r="I9" s="13" t="s">
        <v>17</v>
      </c>
      <c r="J9" s="25">
        <v>47</v>
      </c>
    </row>
    <row r="10" spans="1:10" x14ac:dyDescent="0.3">
      <c r="I10" s="26" t="s">
        <v>32</v>
      </c>
      <c r="J10" s="25">
        <v>8</v>
      </c>
    </row>
    <row r="11" spans="1:10" x14ac:dyDescent="0.3">
      <c r="I11" s="26" t="s">
        <v>16</v>
      </c>
      <c r="J11" s="25">
        <v>20</v>
      </c>
    </row>
    <row r="12" spans="1:10" x14ac:dyDescent="0.3">
      <c r="I12" s="26" t="s">
        <v>20</v>
      </c>
      <c r="J12" s="25">
        <v>10</v>
      </c>
    </row>
    <row r="13" spans="1:10" x14ac:dyDescent="0.3">
      <c r="I13" s="26" t="s">
        <v>26</v>
      </c>
      <c r="J13" s="25">
        <v>9</v>
      </c>
    </row>
    <row r="14" spans="1:10" x14ac:dyDescent="0.3">
      <c r="I14" s="13" t="s">
        <v>124</v>
      </c>
      <c r="J14" s="25">
        <v>214</v>
      </c>
    </row>
    <row r="15" spans="1:10" x14ac:dyDescent="0.3">
      <c r="I15" s="23" t="s">
        <v>131</v>
      </c>
      <c r="J15" s="24"/>
    </row>
    <row r="18" spans="1:8" x14ac:dyDescent="0.3">
      <c r="A18" s="12" t="s">
        <v>123</v>
      </c>
      <c r="B18" t="s">
        <v>128</v>
      </c>
      <c r="D18" s="12" t="s">
        <v>123</v>
      </c>
      <c r="E18" t="s">
        <v>125</v>
      </c>
      <c r="G18" s="14" t="s">
        <v>123</v>
      </c>
      <c r="H18" t="s">
        <v>125</v>
      </c>
    </row>
    <row r="19" spans="1:8" x14ac:dyDescent="0.3">
      <c r="A19" s="13" t="s">
        <v>32</v>
      </c>
      <c r="B19" s="25">
        <v>8200</v>
      </c>
      <c r="D19" s="13" t="s">
        <v>10</v>
      </c>
      <c r="E19" s="25">
        <v>518300</v>
      </c>
      <c r="G19" s="15" t="s">
        <v>7</v>
      </c>
      <c r="H19" s="25">
        <v>54000</v>
      </c>
    </row>
    <row r="20" spans="1:8" x14ac:dyDescent="0.3">
      <c r="A20" s="13" t="s">
        <v>16</v>
      </c>
      <c r="B20" s="25">
        <v>4500</v>
      </c>
      <c r="D20" s="13" t="s">
        <v>17</v>
      </c>
      <c r="E20" s="25">
        <v>403500</v>
      </c>
      <c r="G20" s="15" t="s">
        <v>11</v>
      </c>
      <c r="H20" s="25">
        <v>12000</v>
      </c>
    </row>
    <row r="21" spans="1:8" x14ac:dyDescent="0.3">
      <c r="A21" s="13" t="s">
        <v>20</v>
      </c>
      <c r="B21" s="25">
        <v>14600</v>
      </c>
      <c r="D21" s="13" t="s">
        <v>124</v>
      </c>
      <c r="E21" s="25">
        <v>921800</v>
      </c>
      <c r="G21" s="15" t="s">
        <v>14</v>
      </c>
      <c r="H21" s="25">
        <v>8000</v>
      </c>
    </row>
    <row r="22" spans="1:8" x14ac:dyDescent="0.3">
      <c r="A22" s="13" t="s">
        <v>24</v>
      </c>
      <c r="B22" s="25">
        <v>3000</v>
      </c>
      <c r="D22" s="23" t="s">
        <v>129</v>
      </c>
      <c r="E22" s="24"/>
      <c r="G22" s="15" t="s">
        <v>18</v>
      </c>
      <c r="H22" s="25">
        <v>22000</v>
      </c>
    </row>
    <row r="23" spans="1:8" x14ac:dyDescent="0.3">
      <c r="A23" s="13" t="s">
        <v>9</v>
      </c>
      <c r="B23" s="25">
        <v>29200</v>
      </c>
      <c r="G23" s="15" t="s">
        <v>21</v>
      </c>
      <c r="H23" s="25">
        <v>30000</v>
      </c>
    </row>
    <row r="24" spans="1:8" x14ac:dyDescent="0.3">
      <c r="A24" s="13" t="s">
        <v>28</v>
      </c>
      <c r="B24" s="25">
        <v>10900</v>
      </c>
      <c r="G24" s="15" t="s">
        <v>23</v>
      </c>
      <c r="H24" s="25">
        <v>4000</v>
      </c>
    </row>
    <row r="25" spans="1:8" x14ac:dyDescent="0.3">
      <c r="A25" s="13" t="s">
        <v>30</v>
      </c>
      <c r="B25" s="25">
        <v>1800</v>
      </c>
      <c r="G25" s="15" t="s">
        <v>25</v>
      </c>
      <c r="H25" s="25">
        <v>48000</v>
      </c>
    </row>
    <row r="26" spans="1:8" x14ac:dyDescent="0.3">
      <c r="A26" s="13" t="s">
        <v>22</v>
      </c>
      <c r="B26" s="25">
        <v>17600</v>
      </c>
      <c r="G26" s="15" t="s">
        <v>27</v>
      </c>
      <c r="H26" s="25">
        <v>18000</v>
      </c>
    </row>
    <row r="27" spans="1:8" x14ac:dyDescent="0.3">
      <c r="A27" s="13" t="s">
        <v>13</v>
      </c>
      <c r="B27" s="25">
        <v>7200</v>
      </c>
      <c r="G27" s="15" t="s">
        <v>29</v>
      </c>
      <c r="H27" s="25">
        <v>2000</v>
      </c>
    </row>
    <row r="28" spans="1:8" x14ac:dyDescent="0.3">
      <c r="A28" s="13" t="s">
        <v>26</v>
      </c>
      <c r="B28" s="25">
        <v>23600</v>
      </c>
      <c r="G28" s="15" t="s">
        <v>31</v>
      </c>
      <c r="H28" s="25">
        <v>15000</v>
      </c>
    </row>
    <row r="29" spans="1:8" x14ac:dyDescent="0.3">
      <c r="A29" s="13" t="s">
        <v>124</v>
      </c>
      <c r="B29" s="25">
        <v>120600</v>
      </c>
      <c r="G29" s="15" t="s">
        <v>33</v>
      </c>
      <c r="H29" s="25">
        <v>56000</v>
      </c>
    </row>
    <row r="30" spans="1:8" x14ac:dyDescent="0.3">
      <c r="A30" s="23" t="s">
        <v>127</v>
      </c>
      <c r="B30" s="24"/>
      <c r="G30" s="15" t="s">
        <v>34</v>
      </c>
      <c r="H30" s="25">
        <v>13000</v>
      </c>
    </row>
    <row r="31" spans="1:8" x14ac:dyDescent="0.3">
      <c r="G31" s="15" t="s">
        <v>35</v>
      </c>
      <c r="H31" s="25">
        <v>24000</v>
      </c>
    </row>
    <row r="32" spans="1:8" x14ac:dyDescent="0.3">
      <c r="G32" s="15" t="s">
        <v>36</v>
      </c>
      <c r="H32" s="25">
        <v>32000</v>
      </c>
    </row>
    <row r="33" spans="7:8" x14ac:dyDescent="0.3">
      <c r="G33" s="15" t="s">
        <v>37</v>
      </c>
      <c r="H33" s="25">
        <v>9000</v>
      </c>
    </row>
    <row r="34" spans="7:8" x14ac:dyDescent="0.3">
      <c r="G34" s="15" t="s">
        <v>38</v>
      </c>
      <c r="H34" s="25">
        <v>4500</v>
      </c>
    </row>
    <row r="35" spans="7:8" x14ac:dyDescent="0.3">
      <c r="G35" s="15" t="s">
        <v>39</v>
      </c>
      <c r="H35" s="25">
        <v>49000</v>
      </c>
    </row>
    <row r="36" spans="7:8" x14ac:dyDescent="0.3">
      <c r="G36" s="15" t="s">
        <v>40</v>
      </c>
      <c r="H36" s="25">
        <v>19000</v>
      </c>
    </row>
    <row r="37" spans="7:8" x14ac:dyDescent="0.3">
      <c r="G37" s="15" t="s">
        <v>41</v>
      </c>
      <c r="H37" s="25">
        <v>2500</v>
      </c>
    </row>
    <row r="38" spans="7:8" x14ac:dyDescent="0.3">
      <c r="G38" s="15" t="s">
        <v>42</v>
      </c>
      <c r="H38" s="25">
        <v>17000</v>
      </c>
    </row>
    <row r="39" spans="7:8" x14ac:dyDescent="0.3">
      <c r="G39" s="15" t="s">
        <v>43</v>
      </c>
      <c r="H39" s="25">
        <v>58000</v>
      </c>
    </row>
    <row r="40" spans="7:8" x14ac:dyDescent="0.3">
      <c r="G40" s="15" t="s">
        <v>44</v>
      </c>
      <c r="H40" s="25">
        <v>14000</v>
      </c>
    </row>
    <row r="41" spans="7:8" x14ac:dyDescent="0.3">
      <c r="G41" s="15" t="s">
        <v>45</v>
      </c>
      <c r="H41" s="25">
        <v>9500</v>
      </c>
    </row>
    <row r="42" spans="7:8" x14ac:dyDescent="0.3">
      <c r="G42" s="15" t="s">
        <v>46</v>
      </c>
      <c r="H42" s="25">
        <v>26000</v>
      </c>
    </row>
    <row r="43" spans="7:8" x14ac:dyDescent="0.3">
      <c r="G43" s="15" t="s">
        <v>47</v>
      </c>
      <c r="H43" s="25">
        <v>33000</v>
      </c>
    </row>
    <row r="44" spans="7:8" x14ac:dyDescent="0.3">
      <c r="G44" s="15" t="s">
        <v>48</v>
      </c>
      <c r="H44" s="25">
        <v>4800</v>
      </c>
    </row>
    <row r="45" spans="7:8" x14ac:dyDescent="0.3">
      <c r="G45" s="15" t="s">
        <v>49</v>
      </c>
      <c r="H45" s="25">
        <v>50000</v>
      </c>
    </row>
    <row r="46" spans="7:8" x14ac:dyDescent="0.3">
      <c r="G46" s="15" t="s">
        <v>50</v>
      </c>
      <c r="H46" s="25">
        <v>20000</v>
      </c>
    </row>
    <row r="47" spans="7:8" x14ac:dyDescent="0.3">
      <c r="G47" s="15" t="s">
        <v>51</v>
      </c>
      <c r="H47" s="25">
        <v>3000</v>
      </c>
    </row>
    <row r="48" spans="7:8" x14ac:dyDescent="0.3">
      <c r="G48" s="15" t="s">
        <v>52</v>
      </c>
      <c r="H48" s="25">
        <v>18000</v>
      </c>
    </row>
    <row r="49" spans="7:8" x14ac:dyDescent="0.3">
      <c r="G49" s="15" t="s">
        <v>53</v>
      </c>
      <c r="H49" s="25">
        <v>60000</v>
      </c>
    </row>
    <row r="50" spans="7:8" x14ac:dyDescent="0.3">
      <c r="G50" s="15" t="s">
        <v>54</v>
      </c>
      <c r="H50" s="25">
        <v>15000</v>
      </c>
    </row>
    <row r="51" spans="7:8" x14ac:dyDescent="0.3">
      <c r="G51" s="15" t="s">
        <v>55</v>
      </c>
      <c r="H51" s="25">
        <v>27000</v>
      </c>
    </row>
    <row r="52" spans="7:8" x14ac:dyDescent="0.3">
      <c r="G52" s="15" t="s">
        <v>56</v>
      </c>
      <c r="H52" s="25">
        <v>34000</v>
      </c>
    </row>
    <row r="53" spans="7:8" x14ac:dyDescent="0.3">
      <c r="G53" s="15" t="s">
        <v>57</v>
      </c>
      <c r="H53" s="25">
        <v>10000</v>
      </c>
    </row>
    <row r="54" spans="7:8" x14ac:dyDescent="0.3">
      <c r="G54" s="15" t="s">
        <v>58</v>
      </c>
      <c r="H54" s="25">
        <v>5000</v>
      </c>
    </row>
    <row r="55" spans="7:8" x14ac:dyDescent="0.3">
      <c r="G55" s="15" t="s">
        <v>59</v>
      </c>
      <c r="H55" s="25">
        <v>52000</v>
      </c>
    </row>
    <row r="56" spans="7:8" x14ac:dyDescent="0.3">
      <c r="G56" s="15" t="s">
        <v>60</v>
      </c>
      <c r="H56" s="25">
        <v>21000</v>
      </c>
    </row>
    <row r="57" spans="7:8" x14ac:dyDescent="0.3">
      <c r="G57" s="15" t="s">
        <v>61</v>
      </c>
      <c r="H57" s="25">
        <v>3500</v>
      </c>
    </row>
    <row r="58" spans="7:8" x14ac:dyDescent="0.3">
      <c r="G58" s="15" t="s">
        <v>62</v>
      </c>
      <c r="H58" s="25">
        <v>19000</v>
      </c>
    </row>
    <row r="59" spans="7:8" x14ac:dyDescent="0.3">
      <c r="G59" s="13" t="s">
        <v>124</v>
      </c>
      <c r="H59" s="25">
        <v>921800</v>
      </c>
    </row>
  </sheetData>
  <mergeCells count="4">
    <mergeCell ref="A7:B7"/>
    <mergeCell ref="A30:B30"/>
    <mergeCell ref="D22:E22"/>
    <mergeCell ref="I15:J15"/>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C40F2-2497-4FEE-A9B5-A84BD3A7C2F8}">
  <dimension ref="A1"/>
  <sheetViews>
    <sheetView tabSelected="1" workbookViewId="0">
      <selection activeCell="W7" sqref="W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Formula And Function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Rul Amin</cp:lastModifiedBy>
  <dcterms:created xsi:type="dcterms:W3CDTF">2025-12-06T13:51:27Z</dcterms:created>
  <dcterms:modified xsi:type="dcterms:W3CDTF">2025-12-08T05:18:49Z</dcterms:modified>
</cp:coreProperties>
</file>